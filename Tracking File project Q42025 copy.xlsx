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webextensions/webextension1.xml" ContentType="application/vnd.ms-office.webextension+xml"/>
  <Override PartName="/xl/webextensions/webextension2.xml" ContentType="application/vnd.ms-office.webextension+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imelines/timeline1.xml" ContentType="application/vnd.ms-excel.timeline+xml"/>
  <Override PartName="/xl/drawings/drawing8.xml" ContentType="application/vnd.openxmlformats-officedocument.drawing+xml"/>
  <Override PartName="/xl/slicers/slicer1.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namedSheetViews/namedSheetView2.xml" ContentType="application/vnd.ms-excel.namedsheetviews+xml"/>
  <Override PartName="/xl/drawings/drawing9.xml" ContentType="application/vnd.openxmlformats-officedocument.drawing+xml"/>
  <Override PartName="/xl/namedSheetViews/namedSheetView3.xml" ContentType="application/vnd.ms-excel.namedsheetviews+xml"/>
  <Override PartName="/xl/webextensions/webextension3.xml" ContentType="application/vnd.ms-office.webextensi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2"/>
  <workbookPr defaultThemeVersion="202300"/>
  <mc:AlternateContent xmlns:mc="http://schemas.openxmlformats.org/markup-compatibility/2006">
    <mc:Choice Requires="x15">
      <x15ac:absPath xmlns:x15ac="http://schemas.microsoft.com/office/spreadsheetml/2010/11/ac" url="C:\Users\reema.saleh\OneDrive - Al Othaim\Documents\متابعة ملفات\"/>
    </mc:Choice>
  </mc:AlternateContent>
  <xr:revisionPtr revIDLastSave="0" documentId="8_{3261CA5F-E573-744D-8CD2-7D056295490E}" xr6:coauthVersionLast="47" xr6:coauthVersionMax="47" xr10:uidLastSave="{00000000-0000-0000-0000-000000000000}"/>
  <bookViews>
    <workbookView xWindow="-110" yWindow="-110" windowWidth="19420" windowHeight="10300" tabRatio="937" firstSheet="2" activeTab="7" xr2:uid="{0029BF0F-F6C7-41D1-94E5-84343EAAB610}"/>
  </bookViews>
  <sheets>
    <sheet name="شاشة المتابعة الرئيسة" sheetId="2" state="hidden" r:id="rId1"/>
    <sheet name="Total Amount- Departmen" sheetId="6" r:id="rId2"/>
    <sheet name="Total PR per Department" sheetId="11" r:id="rId3"/>
    <sheet name="PR Status" sheetId="10" r:id="rId4"/>
    <sheet name=" Count of PRs per Category" sheetId="13" r:id="rId5"/>
    <sheet name="PRs by Name" sheetId="14" r:id="rId6"/>
    <sheet name="Timeline" sheetId="15" r:id="rId7"/>
    <sheet name="Dashboard" sheetId="7" r:id="rId8"/>
    <sheet name="Main Tracking Sheet" sheetId="5" r:id="rId9"/>
    <sheet name="شاشة المتابعة الرئيسة (3)" sheetId="4" state="hidden" r:id="rId10"/>
  </sheets>
  <definedNames>
    <definedName name="_xlnm._FilterDatabase" localSheetId="8" hidden="1">'Main Tracking Sheet'!$A$1:$T$234</definedName>
    <definedName name="_xlnm._FilterDatabase" localSheetId="0" hidden="1">'شاشة المتابعة الرئيسة'!$A$1:$R$235</definedName>
    <definedName name="_xlnm._FilterDatabase" localSheetId="9" hidden="1">'شاشة المتابعة الرئيسة (3)'!$A$1:$R$127</definedName>
    <definedName name="_xlchart.v1.0" hidden="1">' Count of PRs per Category'!$J$4:$J$11</definedName>
    <definedName name="_xlchart.v1.1" hidden="1">' Count of PRs per Category'!$K$3</definedName>
    <definedName name="_xlchart.v1.2" hidden="1">' Count of PRs per Category'!$K$4:$K$11</definedName>
    <definedName name="NativeTimeline_PR_Date">#N/A</definedName>
    <definedName name="Slicer_Department">#N/A</definedName>
    <definedName name="Slicer_Name">#N/A</definedName>
    <definedName name="Slicer_PR">#N/A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7" l="1"/>
  <c r="D4" i="7"/>
  <c r="A4" i="7"/>
  <c r="M8" i="5"/>
  <c r="J40" i="5"/>
  <c r="J3" i="5"/>
  <c r="N3" i="5" a="1"/>
  <c r="N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N116" i="5" a="1"/>
  <c r="N116" i="5"/>
  <c r="J117" i="5"/>
  <c r="N117" i="5" a="1"/>
  <c r="N117" i="5"/>
  <c r="J118" i="5"/>
  <c r="N118" i="5" a="1"/>
  <c r="N118" i="5"/>
  <c r="J119" i="5"/>
  <c r="N119" i="5" a="1"/>
  <c r="N119" i="5"/>
  <c r="J120" i="5"/>
  <c r="N120" i="5" a="1"/>
  <c r="N120" i="5"/>
  <c r="J121" i="5"/>
  <c r="N121" i="5" a="1"/>
  <c r="N121" i="5"/>
  <c r="J122" i="5"/>
  <c r="N122" i="5" a="1"/>
  <c r="N122" i="5"/>
  <c r="J123" i="5"/>
  <c r="N123" i="5" a="1"/>
  <c r="N123" i="5"/>
  <c r="J124" i="5"/>
  <c r="N124" i="5" a="1"/>
  <c r="N124" i="5"/>
  <c r="J125" i="5"/>
  <c r="J126" i="5"/>
  <c r="J127" i="5"/>
  <c r="N127" i="5" a="1"/>
  <c r="N127" i="5"/>
  <c r="J128" i="5"/>
  <c r="N128" i="5" a="1"/>
  <c r="N128" i="5"/>
  <c r="J129" i="5"/>
  <c r="N129" i="5" a="1"/>
  <c r="N129" i="5"/>
  <c r="J130" i="5"/>
  <c r="N130" i="5" a="1"/>
  <c r="N130" i="5"/>
  <c r="J131" i="5"/>
  <c r="N131" i="5" a="1"/>
  <c r="N131" i="5"/>
  <c r="J132" i="5"/>
  <c r="N132" i="5" a="1"/>
  <c r="N132" i="5"/>
  <c r="J133" i="5"/>
  <c r="N133" i="5" a="1"/>
  <c r="N133" i="5"/>
  <c r="J134" i="5"/>
  <c r="N134" i="5" a="1"/>
  <c r="N134" i="5"/>
  <c r="J135" i="5"/>
  <c r="N135" i="5" a="1"/>
  <c r="N135" i="5"/>
  <c r="J136" i="5"/>
  <c r="N136" i="5" a="1"/>
  <c r="N136" i="5"/>
  <c r="J137" i="5"/>
  <c r="J138" i="5"/>
  <c r="J139" i="5"/>
  <c r="N139" i="5" a="1"/>
  <c r="N139" i="5"/>
  <c r="J140" i="5"/>
  <c r="N140" i="5" a="1"/>
  <c r="N140" i="5"/>
  <c r="J141" i="5"/>
  <c r="N141" i="5" a="1"/>
  <c r="N141" i="5"/>
  <c r="J142" i="5"/>
  <c r="N142" i="5" a="1"/>
  <c r="N142" i="5"/>
  <c r="J143" i="5"/>
  <c r="N143" i="5" a="1"/>
  <c r="N143" i="5"/>
  <c r="J144" i="5"/>
  <c r="N144" i="5" a="1"/>
  <c r="N144" i="5"/>
  <c r="J145" i="5"/>
  <c r="N145" i="5" a="1"/>
  <c r="N145" i="5"/>
  <c r="J146" i="5"/>
  <c r="N146" i="5" a="1"/>
  <c r="N146" i="5"/>
  <c r="J147" i="5"/>
  <c r="N147" i="5" a="1"/>
  <c r="N147" i="5"/>
  <c r="J148" i="5"/>
  <c r="N148" i="5" a="1"/>
  <c r="N148" i="5"/>
  <c r="J149" i="5"/>
  <c r="N149" i="5" a="1"/>
  <c r="N149" i="5"/>
  <c r="J150" i="5"/>
  <c r="J151" i="5"/>
  <c r="J152" i="5"/>
  <c r="N152" i="5" a="1"/>
  <c r="N152" i="5"/>
  <c r="J153" i="5"/>
  <c r="N153" i="5" a="1"/>
  <c r="N153" i="5"/>
  <c r="J154" i="5"/>
  <c r="N154" i="5" a="1"/>
  <c r="N154" i="5"/>
  <c r="J155" i="5"/>
  <c r="N155" i="5" a="1"/>
  <c r="N155" i="5"/>
  <c r="J156" i="5"/>
  <c r="N156" i="5" a="1"/>
  <c r="N156" i="5"/>
  <c r="J157" i="5"/>
  <c r="N157" i="5" a="1"/>
  <c r="N157" i="5"/>
  <c r="J158" i="5"/>
  <c r="N158" i="5" a="1"/>
  <c r="N158" i="5"/>
  <c r="J159" i="5"/>
  <c r="J160" i="5"/>
  <c r="N160" i="5" a="1"/>
  <c r="N160" i="5"/>
  <c r="J161" i="5"/>
  <c r="N161" i="5" a="1"/>
  <c r="N161" i="5"/>
  <c r="J162" i="5"/>
  <c r="J163" i="5"/>
  <c r="J164" i="5"/>
  <c r="N164" i="5" a="1"/>
  <c r="N164" i="5"/>
  <c r="J165" i="5"/>
  <c r="N165" i="5" a="1"/>
  <c r="N165" i="5"/>
  <c r="J166" i="5"/>
  <c r="N166" i="5" a="1"/>
  <c r="N166" i="5"/>
  <c r="J167" i="5"/>
  <c r="N167" i="5" a="1"/>
  <c r="N167" i="5"/>
  <c r="J168" i="5"/>
  <c r="N168" i="5" a="1"/>
  <c r="N168" i="5"/>
  <c r="J169" i="5"/>
  <c r="N169" i="5" a="1"/>
  <c r="N169" i="5"/>
  <c r="J170" i="5"/>
  <c r="N170" i="5" a="1"/>
  <c r="N170" i="5"/>
  <c r="J171" i="5"/>
  <c r="J172" i="5"/>
  <c r="N172" i="5" a="1"/>
  <c r="N172" i="5"/>
  <c r="J173" i="5"/>
  <c r="J174" i="5"/>
  <c r="J175" i="5"/>
  <c r="N175" i="5" a="1"/>
  <c r="N175" i="5"/>
  <c r="J176" i="5"/>
  <c r="N176" i="5" a="1"/>
  <c r="N176" i="5"/>
  <c r="J177" i="5"/>
  <c r="N177" i="5" a="1"/>
  <c r="N177" i="5"/>
  <c r="J178" i="5"/>
  <c r="N178" i="5" a="1"/>
  <c r="N178" i="5"/>
  <c r="J179" i="5"/>
  <c r="N179" i="5" a="1"/>
  <c r="N179" i="5"/>
  <c r="J180" i="5"/>
  <c r="N180" i="5" a="1"/>
  <c r="N180" i="5"/>
  <c r="J181" i="5"/>
  <c r="N181" i="5" a="1"/>
  <c r="N181" i="5"/>
  <c r="J182" i="5"/>
  <c r="N182" i="5" a="1"/>
  <c r="N182" i="5"/>
  <c r="J183" i="5"/>
  <c r="N183" i="5" a="1"/>
  <c r="N183" i="5"/>
  <c r="J184" i="5"/>
  <c r="N184" i="5" a="1"/>
  <c r="N184" i="5"/>
  <c r="J185" i="5"/>
  <c r="J186" i="5"/>
  <c r="J187" i="5"/>
  <c r="N187" i="5" a="1"/>
  <c r="N187" i="5"/>
  <c r="J188" i="5"/>
  <c r="N188" i="5" a="1"/>
  <c r="N188" i="5"/>
  <c r="J189" i="5"/>
  <c r="N189" i="5" a="1"/>
  <c r="N189" i="5"/>
  <c r="J190" i="5"/>
  <c r="N190" i="5" a="1"/>
  <c r="N190" i="5"/>
  <c r="J191" i="5"/>
  <c r="N191" i="5" a="1"/>
  <c r="N191" i="5"/>
  <c r="J192" i="5"/>
  <c r="N192" i="5" a="1"/>
  <c r="N192" i="5"/>
  <c r="J193" i="5"/>
  <c r="N193" i="5" a="1"/>
  <c r="N193" i="5"/>
  <c r="J194" i="5"/>
  <c r="N194" i="5" a="1"/>
  <c r="N194" i="5"/>
  <c r="J195" i="5"/>
  <c r="N195" i="5" a="1"/>
  <c r="N195" i="5"/>
  <c r="J196" i="5"/>
  <c r="N196" i="5" a="1"/>
  <c r="N196" i="5"/>
  <c r="J197" i="5"/>
  <c r="N197" i="5" a="1"/>
  <c r="N197" i="5"/>
  <c r="J198" i="5"/>
  <c r="J199" i="5"/>
  <c r="J200" i="5"/>
  <c r="N200" i="5" a="1"/>
  <c r="N200" i="5"/>
  <c r="J201" i="5"/>
  <c r="N201" i="5" a="1"/>
  <c r="N201" i="5"/>
  <c r="J202" i="5"/>
  <c r="N202" i="5" a="1"/>
  <c r="N202" i="5"/>
  <c r="J203" i="5"/>
  <c r="N203" i="5" a="1"/>
  <c r="N203" i="5"/>
  <c r="J204" i="5"/>
  <c r="N204" i="5" a="1"/>
  <c r="N204" i="5"/>
  <c r="J205" i="5"/>
  <c r="N205" i="5" a="1"/>
  <c r="N205" i="5"/>
  <c r="J206" i="5"/>
  <c r="N206" i="5" a="1"/>
  <c r="N206" i="5"/>
  <c r="J207" i="5"/>
  <c r="J208" i="5"/>
  <c r="N208" i="5" a="1"/>
  <c r="N208" i="5"/>
  <c r="J209" i="5"/>
  <c r="N209" i="5" a="1"/>
  <c r="N209" i="5"/>
  <c r="J210" i="5"/>
  <c r="J211" i="5"/>
  <c r="J212" i="5"/>
  <c r="N212" i="5" a="1"/>
  <c r="N212" i="5"/>
  <c r="J213" i="5"/>
  <c r="N213" i="5" a="1"/>
  <c r="N213" i="5"/>
  <c r="J214" i="5"/>
  <c r="N214" i="5" a="1"/>
  <c r="N214" i="5"/>
  <c r="J215" i="5"/>
  <c r="N215" i="5" a="1"/>
  <c r="N215" i="5"/>
  <c r="J216" i="5"/>
  <c r="N216" i="5" a="1"/>
  <c r="N216" i="5"/>
  <c r="J217" i="5"/>
  <c r="N217" i="5" a="1"/>
  <c r="N217" i="5"/>
  <c r="J218" i="5"/>
  <c r="N218" i="5" a="1"/>
  <c r="N218" i="5"/>
  <c r="J219" i="5"/>
  <c r="J220" i="5"/>
  <c r="N220" i="5" a="1"/>
  <c r="N220" i="5"/>
  <c r="J221" i="5"/>
  <c r="J222" i="5"/>
  <c r="J223" i="5"/>
  <c r="N223" i="5" a="1"/>
  <c r="N223" i="5"/>
  <c r="J224" i="5"/>
  <c r="N224" i="5" a="1"/>
  <c r="N224" i="5"/>
  <c r="J225" i="5"/>
  <c r="N225" i="5" a="1"/>
  <c r="N225" i="5"/>
  <c r="J226" i="5"/>
  <c r="N226" i="5" a="1"/>
  <c r="N226" i="5"/>
  <c r="J227" i="5"/>
  <c r="N227" i="5" a="1"/>
  <c r="N227" i="5"/>
  <c r="J228" i="5"/>
  <c r="N228" i="5" a="1"/>
  <c r="N228" i="5"/>
  <c r="J229" i="5"/>
  <c r="N229" i="5" a="1"/>
  <c r="N229" i="5"/>
  <c r="J230" i="5"/>
  <c r="N230" i="5" a="1"/>
  <c r="N230" i="5"/>
  <c r="J231" i="5"/>
  <c r="N231" i="5" a="1"/>
  <c r="N231" i="5"/>
  <c r="J232" i="5"/>
  <c r="N232" i="5" a="1"/>
  <c r="N232" i="5"/>
  <c r="J233" i="5"/>
  <c r="J234"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 i="5"/>
  <c r="M3" i="5"/>
  <c r="M4" i="5"/>
  <c r="M5" i="5"/>
  <c r="M6" i="5"/>
  <c r="M7" i="5"/>
  <c r="N114" i="5" a="1"/>
  <c r="N114" i="5"/>
  <c r="N115" i="5" a="1"/>
  <c r="N115" i="5"/>
  <c r="N125" i="5" a="1"/>
  <c r="N125" i="5"/>
  <c r="N126" i="5" a="1"/>
  <c r="N126" i="5"/>
  <c r="N137" i="5" a="1"/>
  <c r="N137" i="5"/>
  <c r="N138" i="5" a="1"/>
  <c r="N138" i="5"/>
  <c r="N150" i="5" a="1"/>
  <c r="N150" i="5"/>
  <c r="N151" i="5" a="1"/>
  <c r="N151" i="5"/>
  <c r="N159" i="5" a="1"/>
  <c r="N159" i="5"/>
  <c r="N162" i="5" a="1"/>
  <c r="N162" i="5"/>
  <c r="N163" i="5" a="1"/>
  <c r="N163" i="5"/>
  <c r="N171" i="5" a="1"/>
  <c r="N171" i="5"/>
  <c r="N173" i="5" a="1"/>
  <c r="N173" i="5"/>
  <c r="N174" i="5" a="1"/>
  <c r="N174" i="5"/>
  <c r="N185" i="5" a="1"/>
  <c r="N185" i="5"/>
  <c r="N186" i="5" a="1"/>
  <c r="N186" i="5"/>
  <c r="N198" i="5" a="1"/>
  <c r="N198" i="5"/>
  <c r="N199" i="5" a="1"/>
  <c r="N199" i="5"/>
  <c r="N207" i="5" a="1"/>
  <c r="N207" i="5"/>
  <c r="N210" i="5" a="1"/>
  <c r="N210" i="5"/>
  <c r="N211" i="5" a="1"/>
  <c r="N211" i="5"/>
  <c r="N219" i="5" a="1"/>
  <c r="N219" i="5"/>
  <c r="N221" i="5" a="1"/>
  <c r="N221" i="5"/>
  <c r="N222" i="5" a="1"/>
  <c r="N222" i="5"/>
  <c r="N233" i="5" a="1"/>
  <c r="N233" i="5"/>
  <c r="N234" i="5" a="1"/>
  <c r="N234" i="5"/>
  <c r="J2" i="5"/>
  <c r="P50" i="5"/>
  <c r="Q50" i="5"/>
  <c r="P51" i="5"/>
  <c r="Q51" i="5"/>
  <c r="P52" i="5"/>
  <c r="Q52" i="5"/>
  <c r="P53" i="5"/>
  <c r="Q53" i="5"/>
  <c r="P54" i="5"/>
  <c r="Q54" i="5"/>
  <c r="P55" i="5"/>
  <c r="Q55" i="5"/>
  <c r="P56" i="5"/>
  <c r="Q56" i="5"/>
  <c r="P57" i="5"/>
  <c r="Q57" i="5"/>
  <c r="P58" i="5"/>
  <c r="Q58" i="5"/>
  <c r="P59" i="5"/>
  <c r="Q59" i="5"/>
  <c r="P60" i="5"/>
  <c r="Q60" i="5"/>
  <c r="P61" i="5"/>
  <c r="Q61" i="5"/>
  <c r="P62" i="5"/>
  <c r="Q62" i="5"/>
  <c r="P63" i="5"/>
  <c r="Q63" i="5"/>
  <c r="P64" i="5"/>
  <c r="Q64" i="5"/>
  <c r="P65" i="5"/>
  <c r="Q65" i="5"/>
  <c r="P66" i="5"/>
  <c r="Q66" i="5"/>
  <c r="P67" i="5"/>
  <c r="Q67" i="5"/>
  <c r="P68" i="5"/>
  <c r="Q68" i="5"/>
  <c r="P69" i="5"/>
  <c r="Q69" i="5"/>
  <c r="P70" i="5"/>
  <c r="Q70" i="5"/>
  <c r="P71" i="5"/>
  <c r="Q71" i="5"/>
  <c r="P72" i="5"/>
  <c r="Q72" i="5"/>
  <c r="P73" i="5"/>
  <c r="Q73" i="5"/>
  <c r="P74" i="5"/>
  <c r="Q74" i="5"/>
  <c r="P75" i="5"/>
  <c r="Q75" i="5"/>
  <c r="P76" i="5"/>
  <c r="Q76" i="5"/>
  <c r="P77" i="5"/>
  <c r="Q77" i="5"/>
  <c r="P78" i="5"/>
  <c r="Q78" i="5"/>
  <c r="P79" i="5"/>
  <c r="Q79" i="5"/>
  <c r="P80" i="5"/>
  <c r="Q80" i="5"/>
  <c r="P81" i="5"/>
  <c r="Q81" i="5"/>
  <c r="P82" i="5"/>
  <c r="Q82" i="5"/>
  <c r="P83" i="5"/>
  <c r="Q83" i="5"/>
  <c r="P84" i="5"/>
  <c r="Q84" i="5"/>
  <c r="P85" i="5"/>
  <c r="Q85" i="5"/>
  <c r="P86" i="5"/>
  <c r="Q86" i="5"/>
  <c r="P87" i="5"/>
  <c r="Q87" i="5"/>
  <c r="P88" i="5"/>
  <c r="Q88" i="5"/>
  <c r="P89" i="5"/>
  <c r="Q89" i="5"/>
  <c r="P90" i="5"/>
  <c r="Q90" i="5"/>
  <c r="P91" i="5"/>
  <c r="Q91" i="5"/>
  <c r="P92" i="5"/>
  <c r="Q92" i="5"/>
  <c r="P93" i="5"/>
  <c r="Q93" i="5"/>
  <c r="P94" i="5"/>
  <c r="Q94" i="5"/>
  <c r="P95" i="5"/>
  <c r="Q95" i="5"/>
  <c r="P96" i="5"/>
  <c r="Q96" i="5"/>
  <c r="P97" i="5"/>
  <c r="Q97" i="5"/>
  <c r="P98" i="5"/>
  <c r="Q98" i="5"/>
  <c r="P99" i="5"/>
  <c r="Q99" i="5"/>
  <c r="P100" i="5"/>
  <c r="Q100" i="5"/>
  <c r="P101" i="5"/>
  <c r="Q101" i="5"/>
  <c r="P102" i="5"/>
  <c r="Q102" i="5"/>
  <c r="P103" i="5"/>
  <c r="Q103" i="5"/>
  <c r="P104" i="5"/>
  <c r="Q104" i="5"/>
  <c r="P105" i="5"/>
  <c r="Q105" i="5"/>
  <c r="P106" i="5"/>
  <c r="Q106" i="5"/>
  <c r="P107" i="5"/>
  <c r="Q107" i="5"/>
  <c r="P108" i="5"/>
  <c r="Q108" i="5"/>
  <c r="P109" i="5"/>
  <c r="Q109" i="5"/>
  <c r="P110" i="5"/>
  <c r="Q110" i="5"/>
  <c r="P111" i="5"/>
  <c r="Q111" i="5"/>
  <c r="P112" i="5"/>
  <c r="Q112" i="5"/>
  <c r="P113" i="5"/>
  <c r="Q113" i="5"/>
  <c r="P114" i="5"/>
  <c r="Q114" i="5"/>
  <c r="P115" i="5"/>
  <c r="Q115" i="5"/>
  <c r="P116" i="5"/>
  <c r="Q116" i="5"/>
  <c r="P117" i="5"/>
  <c r="Q117" i="5"/>
  <c r="P118" i="5"/>
  <c r="Q118" i="5"/>
  <c r="P119" i="5"/>
  <c r="Q119" i="5"/>
  <c r="P120" i="5"/>
  <c r="Q120" i="5"/>
  <c r="P121" i="5"/>
  <c r="Q121" i="5"/>
  <c r="P122" i="5"/>
  <c r="Q122" i="5"/>
  <c r="P123" i="5"/>
  <c r="Q123" i="5"/>
  <c r="P124" i="5"/>
  <c r="Q124" i="5"/>
  <c r="P125" i="5"/>
  <c r="Q125" i="5"/>
  <c r="P126" i="5"/>
  <c r="Q126" i="5"/>
  <c r="P127" i="5"/>
  <c r="Q127" i="5"/>
  <c r="P128" i="5"/>
  <c r="Q128" i="5"/>
  <c r="P129" i="5"/>
  <c r="Q129" i="5"/>
  <c r="P130" i="5"/>
  <c r="Q130" i="5"/>
  <c r="P131" i="5"/>
  <c r="Q131" i="5"/>
  <c r="P132" i="5"/>
  <c r="Q132" i="5"/>
  <c r="P133" i="5"/>
  <c r="Q133" i="5"/>
  <c r="P134" i="5"/>
  <c r="Q134" i="5"/>
  <c r="P135" i="5"/>
  <c r="Q135" i="5"/>
  <c r="P136" i="5"/>
  <c r="Q136" i="5"/>
  <c r="P137" i="5"/>
  <c r="Q137" i="5"/>
  <c r="P138" i="5"/>
  <c r="Q138" i="5"/>
  <c r="P139" i="5"/>
  <c r="Q139" i="5"/>
  <c r="P140" i="5"/>
  <c r="Q140" i="5"/>
  <c r="P141" i="5"/>
  <c r="Q141" i="5"/>
  <c r="P142" i="5"/>
  <c r="Q142" i="5"/>
  <c r="P143" i="5"/>
  <c r="Q143" i="5"/>
  <c r="P144" i="5"/>
  <c r="Q144" i="5"/>
  <c r="P145" i="5"/>
  <c r="Q145" i="5"/>
  <c r="P146" i="5"/>
  <c r="Q146" i="5"/>
  <c r="P147" i="5"/>
  <c r="Q147" i="5"/>
  <c r="P148" i="5"/>
  <c r="Q148" i="5"/>
  <c r="P149" i="5"/>
  <c r="Q149" i="5"/>
  <c r="P150" i="5"/>
  <c r="Q150" i="5"/>
  <c r="P151" i="5"/>
  <c r="Q151" i="5"/>
  <c r="P152" i="5"/>
  <c r="Q152" i="5"/>
  <c r="P153" i="5"/>
  <c r="Q153" i="5"/>
  <c r="P154" i="5"/>
  <c r="Q154" i="5"/>
  <c r="P155" i="5"/>
  <c r="Q155" i="5"/>
  <c r="P156" i="5"/>
  <c r="Q156" i="5"/>
  <c r="P157" i="5"/>
  <c r="Q157" i="5"/>
  <c r="P158" i="5"/>
  <c r="Q158" i="5"/>
  <c r="P159" i="5"/>
  <c r="Q159" i="5"/>
  <c r="P160" i="5"/>
  <c r="Q160" i="5"/>
  <c r="P161" i="5"/>
  <c r="Q161" i="5"/>
  <c r="P162" i="5"/>
  <c r="Q162" i="5"/>
  <c r="P163" i="5"/>
  <c r="Q163" i="5"/>
  <c r="P164" i="5"/>
  <c r="Q164" i="5"/>
  <c r="P165" i="5"/>
  <c r="Q165" i="5"/>
  <c r="P166" i="5"/>
  <c r="Q166" i="5"/>
  <c r="P167" i="5"/>
  <c r="Q167" i="5"/>
  <c r="P168" i="5"/>
  <c r="Q168" i="5"/>
  <c r="P169" i="5"/>
  <c r="Q169" i="5"/>
  <c r="P170" i="5"/>
  <c r="Q170" i="5"/>
  <c r="P171" i="5"/>
  <c r="Q171" i="5"/>
  <c r="P172" i="5"/>
  <c r="Q172" i="5"/>
  <c r="P173" i="5"/>
  <c r="Q173" i="5"/>
  <c r="P174" i="5"/>
  <c r="Q174" i="5"/>
  <c r="P175" i="5"/>
  <c r="Q175" i="5"/>
  <c r="P176" i="5"/>
  <c r="Q176" i="5"/>
  <c r="P177" i="5"/>
  <c r="Q177" i="5"/>
  <c r="P178" i="5"/>
  <c r="Q178" i="5"/>
  <c r="P179" i="5"/>
  <c r="Q179" i="5"/>
  <c r="P180" i="5"/>
  <c r="Q180" i="5"/>
  <c r="P181" i="5"/>
  <c r="Q181" i="5"/>
  <c r="P182" i="5"/>
  <c r="Q182" i="5"/>
  <c r="P183" i="5"/>
  <c r="Q183" i="5"/>
  <c r="P184" i="5"/>
  <c r="Q184" i="5"/>
  <c r="P185" i="5"/>
  <c r="Q185" i="5"/>
  <c r="P186" i="5"/>
  <c r="Q186" i="5"/>
  <c r="P187" i="5"/>
  <c r="Q187" i="5"/>
  <c r="P188" i="5"/>
  <c r="Q188" i="5"/>
  <c r="P189" i="5"/>
  <c r="Q189" i="5"/>
  <c r="P190" i="5"/>
  <c r="Q190" i="5"/>
  <c r="P191" i="5"/>
  <c r="Q191" i="5"/>
  <c r="P192" i="5"/>
  <c r="Q192" i="5"/>
  <c r="P193" i="5"/>
  <c r="Q193" i="5"/>
  <c r="P194" i="5"/>
  <c r="Q194" i="5"/>
  <c r="P195" i="5"/>
  <c r="Q195" i="5"/>
  <c r="P196" i="5"/>
  <c r="Q196" i="5"/>
  <c r="P197" i="5"/>
  <c r="Q197" i="5"/>
  <c r="P198" i="5"/>
  <c r="Q198" i="5"/>
  <c r="P199" i="5"/>
  <c r="Q199" i="5"/>
  <c r="P200" i="5"/>
  <c r="Q200" i="5"/>
  <c r="P201" i="5"/>
  <c r="Q201" i="5"/>
  <c r="P202" i="5"/>
  <c r="Q202" i="5"/>
  <c r="P203" i="5"/>
  <c r="Q203" i="5"/>
  <c r="P204" i="5"/>
  <c r="Q204" i="5"/>
  <c r="P205" i="5"/>
  <c r="Q205" i="5"/>
  <c r="P206" i="5"/>
  <c r="Q206" i="5"/>
  <c r="P207" i="5"/>
  <c r="Q207" i="5"/>
  <c r="P208" i="5"/>
  <c r="Q208" i="5"/>
  <c r="P209" i="5"/>
  <c r="Q209" i="5"/>
  <c r="P210" i="5"/>
  <c r="Q210" i="5"/>
  <c r="P211" i="5"/>
  <c r="Q211" i="5"/>
  <c r="P212" i="5"/>
  <c r="Q212" i="5"/>
  <c r="P213" i="5"/>
  <c r="Q213" i="5"/>
  <c r="P214" i="5"/>
  <c r="Q214" i="5"/>
  <c r="P215" i="5"/>
  <c r="Q215" i="5"/>
  <c r="P216" i="5"/>
  <c r="Q216" i="5"/>
  <c r="P217" i="5"/>
  <c r="Q217" i="5"/>
  <c r="P218" i="5"/>
  <c r="Q218" i="5"/>
  <c r="P219" i="5"/>
  <c r="Q219" i="5"/>
  <c r="P220" i="5"/>
  <c r="Q220" i="5"/>
  <c r="P221" i="5"/>
  <c r="Q221" i="5"/>
  <c r="P222" i="5"/>
  <c r="Q222" i="5"/>
  <c r="P223" i="5"/>
  <c r="Q223" i="5"/>
  <c r="P224" i="5"/>
  <c r="Q224" i="5"/>
  <c r="P225" i="5"/>
  <c r="Q225" i="5"/>
  <c r="P226" i="5"/>
  <c r="Q226" i="5"/>
  <c r="P227" i="5"/>
  <c r="Q227" i="5"/>
  <c r="P228" i="5"/>
  <c r="Q228" i="5"/>
  <c r="P229" i="5"/>
  <c r="Q229" i="5"/>
  <c r="P230" i="5"/>
  <c r="Q230" i="5"/>
  <c r="P231" i="5"/>
  <c r="Q231" i="5"/>
  <c r="P232" i="5"/>
  <c r="Q232" i="5"/>
  <c r="P233" i="5"/>
  <c r="Q233" i="5"/>
  <c r="P234" i="5"/>
  <c r="Q234" i="5"/>
  <c r="P43" i="5"/>
  <c r="Q43" i="5"/>
  <c r="P44" i="5"/>
  <c r="Q44" i="5"/>
  <c r="P45" i="5"/>
  <c r="Q45" i="5"/>
  <c r="P46" i="5"/>
  <c r="Q46" i="5"/>
  <c r="P47" i="5"/>
  <c r="Q47" i="5"/>
  <c r="P48" i="5"/>
  <c r="Q48" i="5"/>
  <c r="P49" i="5"/>
  <c r="Q49" i="5"/>
  <c r="P3" i="5"/>
  <c r="Q3" i="5"/>
  <c r="P4" i="5"/>
  <c r="Q4" i="5"/>
  <c r="P5" i="5"/>
  <c r="Q5" i="5"/>
  <c r="P6" i="5"/>
  <c r="Q6" i="5"/>
  <c r="P7" i="5"/>
  <c r="Q7" i="5"/>
  <c r="P8" i="5"/>
  <c r="Q8" i="5"/>
  <c r="P9" i="5"/>
  <c r="Q9" i="5"/>
  <c r="P10" i="5"/>
  <c r="Q10" i="5"/>
  <c r="P11" i="5"/>
  <c r="Q11" i="5"/>
  <c r="P12" i="5"/>
  <c r="Q12" i="5"/>
  <c r="P13" i="5"/>
  <c r="Q13" i="5"/>
  <c r="P14" i="5"/>
  <c r="Q14" i="5"/>
  <c r="P15" i="5"/>
  <c r="Q15" i="5"/>
  <c r="P16" i="5"/>
  <c r="Q16" i="5"/>
  <c r="P17" i="5"/>
  <c r="Q17" i="5"/>
  <c r="P18" i="5"/>
  <c r="Q18" i="5"/>
  <c r="P19" i="5"/>
  <c r="Q19" i="5"/>
  <c r="P20" i="5"/>
  <c r="Q20" i="5"/>
  <c r="P21" i="5"/>
  <c r="Q21" i="5"/>
  <c r="P22" i="5"/>
  <c r="Q22" i="5"/>
  <c r="P23" i="5"/>
  <c r="Q23" i="5"/>
  <c r="P24" i="5"/>
  <c r="Q24" i="5"/>
  <c r="P25" i="5"/>
  <c r="Q25" i="5"/>
  <c r="P26" i="5"/>
  <c r="Q26" i="5"/>
  <c r="P27" i="5"/>
  <c r="Q27" i="5"/>
  <c r="P28" i="5"/>
  <c r="Q28" i="5"/>
  <c r="P29" i="5"/>
  <c r="Q29" i="5"/>
  <c r="P30" i="5"/>
  <c r="Q30" i="5"/>
  <c r="P31" i="5"/>
  <c r="Q31" i="5"/>
  <c r="P32" i="5"/>
  <c r="Q32" i="5"/>
  <c r="P33" i="5"/>
  <c r="Q33" i="5"/>
  <c r="P34" i="5"/>
  <c r="Q34" i="5"/>
  <c r="P35" i="5"/>
  <c r="Q35" i="5"/>
  <c r="P36" i="5"/>
  <c r="Q36" i="5"/>
  <c r="P37" i="5"/>
  <c r="Q37" i="5"/>
  <c r="P38" i="5"/>
  <c r="Q38" i="5"/>
  <c r="P39" i="5"/>
  <c r="Q39" i="5"/>
  <c r="P40" i="5"/>
  <c r="Q40" i="5"/>
  <c r="P41" i="5"/>
  <c r="Q41" i="5"/>
  <c r="P42" i="5"/>
  <c r="Q42" i="5"/>
  <c r="P2" i="5"/>
  <c r="Q2" i="5"/>
  <c r="T117" i="5"/>
  <c r="T118" i="5"/>
  <c r="T116" i="5"/>
  <c r="T115" i="5"/>
  <c r="T113" i="5"/>
  <c r="N112" i="5" a="1"/>
  <c r="N112" i="5"/>
  <c r="N111" i="5" a="1"/>
  <c r="N111" i="5"/>
  <c r="T109" i="5"/>
  <c r="T108" i="5"/>
  <c r="N107" i="5" a="1"/>
  <c r="N107" i="5"/>
  <c r="T106" i="5"/>
  <c r="N105" i="5" a="1"/>
  <c r="N105" i="5"/>
  <c r="N104" i="5" a="1"/>
  <c r="N104" i="5"/>
  <c r="T103" i="5"/>
  <c r="N102" i="5" a="1"/>
  <c r="N102" i="5"/>
  <c r="T101" i="5"/>
  <c r="N100" i="5" a="1"/>
  <c r="N100" i="5"/>
  <c r="N99" i="5" a="1"/>
  <c r="N99" i="5"/>
  <c r="T97" i="5"/>
  <c r="T96" i="5"/>
  <c r="N95" i="5" a="1"/>
  <c r="N95" i="5"/>
  <c r="T94" i="5"/>
  <c r="T93" i="5"/>
  <c r="N92" i="5" a="1"/>
  <c r="N92" i="5"/>
  <c r="T91" i="5"/>
  <c r="T90" i="5"/>
  <c r="N89" i="5" a="1"/>
  <c r="N89" i="5"/>
  <c r="N88" i="5" a="1"/>
  <c r="N88" i="5"/>
  <c r="N87" i="5" a="1"/>
  <c r="N87" i="5"/>
  <c r="T85" i="5"/>
  <c r="T84" i="5"/>
  <c r="N83" i="5" a="1"/>
  <c r="N83" i="5"/>
  <c r="T82" i="5"/>
  <c r="T81" i="5"/>
  <c r="N80" i="5" a="1"/>
  <c r="N80" i="5"/>
  <c r="N79" i="5" a="1"/>
  <c r="N79" i="5"/>
  <c r="T78" i="5"/>
  <c r="T77" i="5"/>
  <c r="N76" i="5" a="1"/>
  <c r="N76" i="5"/>
  <c r="N75" i="5" a="1"/>
  <c r="N75" i="5"/>
  <c r="T73" i="5"/>
  <c r="T72" i="5"/>
  <c r="N71" i="5" a="1"/>
  <c r="N71" i="5"/>
  <c r="T70" i="5"/>
  <c r="T69" i="5"/>
  <c r="N68" i="5" a="1"/>
  <c r="N68" i="5"/>
  <c r="T67" i="5"/>
  <c r="N66" i="5" a="1"/>
  <c r="N66" i="5"/>
  <c r="T65" i="5"/>
  <c r="T64" i="5"/>
  <c r="N63" i="5" a="1"/>
  <c r="N63" i="5"/>
  <c r="T61" i="5"/>
  <c r="T60" i="5"/>
  <c r="N59" i="5" a="1"/>
  <c r="N59" i="5"/>
  <c r="T58" i="5"/>
  <c r="T57" i="5"/>
  <c r="N56" i="5" a="1"/>
  <c r="N56" i="5"/>
  <c r="T55" i="5"/>
  <c r="T54" i="5"/>
  <c r="T53" i="5"/>
  <c r="T52" i="5"/>
  <c r="N51" i="5" a="1"/>
  <c r="N51" i="5"/>
  <c r="T49" i="5"/>
  <c r="T48" i="5"/>
  <c r="N47" i="5" a="1"/>
  <c r="N47" i="5"/>
  <c r="T46" i="5"/>
  <c r="N45" i="5" a="1"/>
  <c r="N45" i="5"/>
  <c r="N44" i="5" a="1"/>
  <c r="N44" i="5"/>
  <c r="T43" i="5"/>
  <c r="T42" i="5"/>
  <c r="T41" i="5"/>
  <c r="T40" i="5"/>
  <c r="N39" i="5" a="1"/>
  <c r="N39" i="5"/>
  <c r="N37" i="5" a="1"/>
  <c r="N37" i="5"/>
  <c r="T36" i="5"/>
  <c r="N35" i="5" a="1"/>
  <c r="N35" i="5"/>
  <c r="T34" i="5"/>
  <c r="T33" i="5"/>
  <c r="N32" i="5" a="1"/>
  <c r="N32" i="5"/>
  <c r="T31" i="5"/>
  <c r="N30" i="5" a="1"/>
  <c r="N30" i="5"/>
  <c r="T29" i="5"/>
  <c r="T28" i="5"/>
  <c r="N27" i="5" a="1"/>
  <c r="N27" i="5"/>
  <c r="T25" i="5"/>
  <c r="N24" i="5" a="1"/>
  <c r="N24" i="5"/>
  <c r="T23" i="5"/>
  <c r="N22" i="5" a="1"/>
  <c r="N22" i="5"/>
  <c r="T20" i="5"/>
  <c r="T19" i="5"/>
  <c r="N18" i="5" a="1"/>
  <c r="N18" i="5"/>
  <c r="T17" i="5"/>
  <c r="T16" i="5"/>
  <c r="N15" i="5" a="1"/>
  <c r="N15" i="5"/>
  <c r="N14" i="5" a="1"/>
  <c r="N14" i="5"/>
  <c r="T13" i="5"/>
  <c r="T12" i="5"/>
  <c r="T11" i="5"/>
  <c r="N10" i="5" a="1"/>
  <c r="N10" i="5"/>
  <c r="T8" i="5"/>
  <c r="N8" i="5" a="1"/>
  <c r="N8" i="5"/>
  <c r="T7" i="5"/>
  <c r="T6" i="5"/>
  <c r="N5" i="5" a="1"/>
  <c r="N5" i="5"/>
  <c r="T3" i="5"/>
  <c r="N33" i="5" a="1"/>
  <c r="N33" i="5"/>
  <c r="T112" i="5"/>
  <c r="N2" i="5"/>
  <c r="N13" i="5" a="1"/>
  <c r="N13" i="5"/>
  <c r="N54" i="5" a="1"/>
  <c r="N54" i="5"/>
  <c r="T59" i="5"/>
  <c r="T87" i="5"/>
  <c r="T92" i="5"/>
  <c r="T66" i="5"/>
  <c r="T71" i="5"/>
  <c r="N109" i="5" a="1"/>
  <c r="N109" i="5"/>
  <c r="T30" i="5"/>
  <c r="T83" i="5"/>
  <c r="T88" i="5"/>
  <c r="N20" i="5" a="1"/>
  <c r="N20" i="5"/>
  <c r="N42" i="5" a="1"/>
  <c r="N42" i="5"/>
  <c r="N16" i="5" a="1"/>
  <c r="N16" i="5"/>
  <c r="T37" i="5"/>
  <c r="T63" i="5"/>
  <c r="T100" i="5"/>
  <c r="T95" i="5"/>
  <c r="T45" i="5"/>
  <c r="T51" i="5"/>
  <c r="T5" i="5"/>
  <c r="T80" i="5"/>
  <c r="T39" i="5"/>
  <c r="N64" i="5" a="1"/>
  <c r="N64" i="5"/>
  <c r="T76" i="5"/>
  <c r="N97" i="5" a="1"/>
  <c r="N97" i="5"/>
  <c r="T18" i="5"/>
  <c r="N52" i="5" a="1"/>
  <c r="N52" i="5"/>
  <c r="T56" i="5"/>
  <c r="N25" i="5" a="1"/>
  <c r="N25" i="5"/>
  <c r="T75" i="5"/>
  <c r="T104" i="5"/>
  <c r="T47" i="5"/>
  <c r="T68" i="5"/>
  <c r="T105" i="5"/>
  <c r="N81" i="5" a="1"/>
  <c r="N81" i="5"/>
  <c r="N40" i="5" a="1"/>
  <c r="N40" i="5"/>
  <c r="N69" i="5" a="1"/>
  <c r="N69" i="5"/>
  <c r="N73" i="5" a="1"/>
  <c r="N73" i="5"/>
  <c r="T102" i="5"/>
  <c r="T111" i="5"/>
  <c r="T10" i="5"/>
  <c r="N6" i="5" a="1"/>
  <c r="N6" i="5"/>
  <c r="T27" i="5"/>
  <c r="N93" i="5" a="1"/>
  <c r="N93" i="5"/>
  <c r="N85" i="5" a="1"/>
  <c r="N85" i="5"/>
  <c r="T15" i="5"/>
  <c r="T44" i="5"/>
  <c r="N28" i="5" a="1"/>
  <c r="N28" i="5"/>
  <c r="N57" i="5" a="1"/>
  <c r="N57" i="5"/>
  <c r="N61" i="5" a="1"/>
  <c r="N61" i="5"/>
  <c r="N90" i="5" a="1"/>
  <c r="N90" i="5"/>
  <c r="T35" i="5"/>
  <c r="T114" i="5"/>
  <c r="N11" i="5" a="1"/>
  <c r="N11" i="5"/>
  <c r="N23" i="5" a="1"/>
  <c r="N23" i="5"/>
  <c r="T32" i="5"/>
  <c r="N49" i="5" a="1"/>
  <c r="N49" i="5"/>
  <c r="N78" i="5" a="1"/>
  <c r="N78" i="5"/>
  <c r="T99" i="5"/>
  <c r="T107" i="5"/>
  <c r="T22" i="5"/>
  <c r="N98" i="5" a="1"/>
  <c r="N98" i="5"/>
  <c r="T98" i="5"/>
  <c r="N86" i="5" a="1"/>
  <c r="N86" i="5"/>
  <c r="T86" i="5"/>
  <c r="N110" i="5" a="1"/>
  <c r="N110" i="5"/>
  <c r="T110" i="5"/>
  <c r="T4" i="5"/>
  <c r="N4" i="5" a="1"/>
  <c r="N4" i="5"/>
  <c r="T74" i="5"/>
  <c r="N74" i="5" a="1"/>
  <c r="N74" i="5"/>
  <c r="N62" i="5" a="1"/>
  <c r="N62" i="5"/>
  <c r="T62" i="5"/>
  <c r="T9" i="5"/>
  <c r="N9" i="5" a="1"/>
  <c r="N9" i="5"/>
  <c r="N21" i="5" a="1"/>
  <c r="N21" i="5"/>
  <c r="T21" i="5"/>
  <c r="N50" i="5" a="1"/>
  <c r="N50" i="5"/>
  <c r="T50" i="5"/>
  <c r="T26" i="5"/>
  <c r="N26" i="5" a="1"/>
  <c r="N26" i="5"/>
  <c r="T38" i="5"/>
  <c r="N38" i="5" a="1"/>
  <c r="N38" i="5"/>
  <c r="N55" i="5" a="1"/>
  <c r="N55" i="5"/>
  <c r="N103" i="5" a="1"/>
  <c r="N103" i="5"/>
  <c r="N19" i="5" a="1"/>
  <c r="N19" i="5"/>
  <c r="N36" i="5" a="1"/>
  <c r="N36" i="5"/>
  <c r="N48" i="5" a="1"/>
  <c r="N48" i="5"/>
  <c r="N60" i="5" a="1"/>
  <c r="N60" i="5"/>
  <c r="N72" i="5" a="1"/>
  <c r="N72" i="5"/>
  <c r="N84" i="5" a="1"/>
  <c r="N84" i="5"/>
  <c r="N96" i="5" a="1"/>
  <c r="N96" i="5"/>
  <c r="N108" i="5" a="1"/>
  <c r="N108" i="5"/>
  <c r="N7" i="5" a="1"/>
  <c r="N7" i="5"/>
  <c r="T14" i="5"/>
  <c r="N53" i="5" a="1"/>
  <c r="N53" i="5"/>
  <c r="N43" i="5" a="1"/>
  <c r="N43" i="5"/>
  <c r="N91" i="5" a="1"/>
  <c r="N91" i="5"/>
  <c r="N12" i="5" a="1"/>
  <c r="N12" i="5"/>
  <c r="N29" i="5" a="1"/>
  <c r="N29" i="5"/>
  <c r="N65" i="5" a="1"/>
  <c r="N65" i="5"/>
  <c r="T79" i="5"/>
  <c r="N101" i="5" a="1"/>
  <c r="N101" i="5"/>
  <c r="N17" i="5" a="1"/>
  <c r="N17" i="5"/>
  <c r="N82" i="5" a="1"/>
  <c r="N82" i="5"/>
  <c r="N94" i="5" a="1"/>
  <c r="N94" i="5"/>
  <c r="N31" i="5" a="1"/>
  <c r="N31" i="5"/>
  <c r="N41" i="5" a="1"/>
  <c r="N41" i="5"/>
  <c r="N77" i="5" a="1"/>
  <c r="N77" i="5"/>
  <c r="N113" i="5" a="1"/>
  <c r="N113" i="5"/>
  <c r="N46" i="5" a="1"/>
  <c r="N46" i="5"/>
  <c r="N106" i="5" a="1"/>
  <c r="N106" i="5"/>
  <c r="T24" i="5"/>
  <c r="T89" i="5"/>
  <c r="N67" i="5" a="1"/>
  <c r="N67" i="5"/>
  <c r="N34" i="5" a="1"/>
  <c r="N34" i="5"/>
  <c r="N58" i="5" a="1"/>
  <c r="N58" i="5"/>
  <c r="N70" i="5" a="1"/>
  <c r="N70" i="5"/>
  <c r="J64" i="4"/>
  <c r="K64" i="4"/>
  <c r="J119" i="4"/>
  <c r="K119" i="4"/>
  <c r="J118" i="4"/>
  <c r="K118" i="4"/>
  <c r="J117" i="4"/>
  <c r="K117" i="4"/>
  <c r="J116" i="4"/>
  <c r="K116" i="4"/>
  <c r="J115" i="4"/>
  <c r="K115" i="4"/>
  <c r="J114" i="4"/>
  <c r="K114" i="4"/>
  <c r="J113" i="4"/>
  <c r="K113" i="4"/>
  <c r="J112" i="4"/>
  <c r="K112" i="4"/>
  <c r="J111" i="4"/>
  <c r="K111" i="4"/>
  <c r="J110" i="4"/>
  <c r="K110" i="4"/>
  <c r="J109" i="4"/>
  <c r="K109" i="4"/>
  <c r="J108" i="4"/>
  <c r="K108" i="4"/>
  <c r="J107" i="4"/>
  <c r="K107" i="4"/>
  <c r="J106" i="4"/>
  <c r="K106" i="4"/>
  <c r="J105" i="4"/>
  <c r="K105" i="4"/>
  <c r="J104" i="4"/>
  <c r="K104" i="4"/>
  <c r="J103" i="4"/>
  <c r="K103" i="4" a="1"/>
  <c r="K103" i="4"/>
  <c r="J102" i="4"/>
  <c r="K102" i="4"/>
  <c r="J101" i="4"/>
  <c r="K101" i="4"/>
  <c r="J100" i="4"/>
  <c r="K100" i="4"/>
  <c r="J99" i="4"/>
  <c r="K99" i="4"/>
  <c r="J98" i="4"/>
  <c r="K98" i="4"/>
  <c r="J97" i="4"/>
  <c r="K97" i="4" a="1"/>
  <c r="K97" i="4"/>
  <c r="J96" i="4"/>
  <c r="K96" i="4"/>
  <c r="J95" i="4"/>
  <c r="K95" i="4"/>
  <c r="J94" i="4"/>
  <c r="K94" i="4"/>
  <c r="J93" i="4"/>
  <c r="K93" i="4"/>
  <c r="J92" i="4"/>
  <c r="K92" i="4"/>
  <c r="J91" i="4"/>
  <c r="K91" i="4"/>
  <c r="J90" i="4"/>
  <c r="K90" i="4"/>
  <c r="J89" i="4"/>
  <c r="K89" i="4"/>
  <c r="J88" i="4"/>
  <c r="K88" i="4"/>
  <c r="J87" i="4"/>
  <c r="K87" i="4"/>
  <c r="J86" i="4"/>
  <c r="K86" i="4"/>
  <c r="J85" i="4"/>
  <c r="K85" i="4" a="1"/>
  <c r="K85" i="4"/>
  <c r="J84" i="4"/>
  <c r="K84" i="4"/>
  <c r="J83" i="4"/>
  <c r="K83" i="4"/>
  <c r="J82" i="4"/>
  <c r="K82" i="4"/>
  <c r="J81" i="4"/>
  <c r="Q81" i="4"/>
  <c r="J80" i="4"/>
  <c r="Q80" i="4"/>
  <c r="J79" i="4"/>
  <c r="Q79" i="4"/>
  <c r="J78" i="4"/>
  <c r="K78" i="4"/>
  <c r="J77" i="4"/>
  <c r="K77" i="4"/>
  <c r="J76" i="4"/>
  <c r="K76" i="4" a="1"/>
  <c r="K76" i="4"/>
  <c r="J75" i="4"/>
  <c r="Q75" i="4"/>
  <c r="J74" i="4"/>
  <c r="K74" i="4"/>
  <c r="J73" i="4"/>
  <c r="K73" i="4"/>
  <c r="J72" i="4"/>
  <c r="K72" i="4"/>
  <c r="J71" i="4"/>
  <c r="K71" i="4"/>
  <c r="J70" i="4"/>
  <c r="K70" i="4"/>
  <c r="J69" i="4"/>
  <c r="K69" i="4"/>
  <c r="J68" i="4"/>
  <c r="K68" i="4"/>
  <c r="J67" i="4"/>
  <c r="K67" i="4"/>
  <c r="J66" i="4"/>
  <c r="K66" i="4"/>
  <c r="J65" i="4"/>
  <c r="K65" i="4"/>
  <c r="J63" i="4"/>
  <c r="K63" i="4"/>
  <c r="J62" i="4"/>
  <c r="K62" i="4"/>
  <c r="J61" i="4"/>
  <c r="K61" i="4"/>
  <c r="J60" i="4"/>
  <c r="K60" i="4"/>
  <c r="J59" i="4"/>
  <c r="K59" i="4"/>
  <c r="J58" i="4"/>
  <c r="K58" i="4"/>
  <c r="J57" i="4"/>
  <c r="K57" i="4"/>
  <c r="J56" i="4"/>
  <c r="K56" i="4"/>
  <c r="J55" i="4"/>
  <c r="K55" i="4"/>
  <c r="J54" i="4"/>
  <c r="K54" i="4"/>
  <c r="J53" i="4"/>
  <c r="K53" i="4"/>
  <c r="J52" i="4"/>
  <c r="K52" i="4"/>
  <c r="J51" i="4"/>
  <c r="Q51" i="4"/>
  <c r="J50" i="4"/>
  <c r="Q50" i="4"/>
  <c r="J49" i="4"/>
  <c r="K49" i="4" a="1"/>
  <c r="K49" i="4"/>
  <c r="J48" i="4"/>
  <c r="K48" i="4"/>
  <c r="J47" i="4"/>
  <c r="K47" i="4"/>
  <c r="J46" i="4"/>
  <c r="K46" i="4"/>
  <c r="J45" i="4"/>
  <c r="K45" i="4"/>
  <c r="J44" i="4"/>
  <c r="K44" i="4"/>
  <c r="J43" i="4"/>
  <c r="K43" i="4"/>
  <c r="J42" i="4"/>
  <c r="K42" i="4"/>
  <c r="J41" i="4"/>
  <c r="K41" i="4"/>
  <c r="J40" i="4"/>
  <c r="Q40" i="4"/>
  <c r="J39" i="4"/>
  <c r="K39" i="4"/>
  <c r="J38" i="4"/>
  <c r="K38" i="4"/>
  <c r="J37" i="4"/>
  <c r="K37" i="4"/>
  <c r="J36" i="4"/>
  <c r="K36" i="4"/>
  <c r="J35" i="4"/>
  <c r="K35" i="4" a="1"/>
  <c r="K35" i="4"/>
  <c r="J34" i="4"/>
  <c r="Q34" i="4"/>
  <c r="J33" i="4"/>
  <c r="Q33" i="4"/>
  <c r="J32" i="4"/>
  <c r="Q32" i="4"/>
  <c r="J31" i="4"/>
  <c r="Q31" i="4"/>
  <c r="J30" i="4"/>
  <c r="Q30" i="4"/>
  <c r="J29" i="4"/>
  <c r="Q29" i="4"/>
  <c r="J28" i="4"/>
  <c r="Q28" i="4"/>
  <c r="J27" i="4"/>
  <c r="K27" i="4"/>
  <c r="J26" i="4"/>
  <c r="Q26" i="4"/>
  <c r="J25" i="4"/>
  <c r="K25" i="4" a="1"/>
  <c r="K25" i="4"/>
  <c r="J24" i="4"/>
  <c r="Q24" i="4"/>
  <c r="J23" i="4"/>
  <c r="Q23" i="4"/>
  <c r="J22" i="4"/>
  <c r="Q22" i="4"/>
  <c r="J21" i="4"/>
  <c r="K21" i="4" a="1"/>
  <c r="K21" i="4"/>
  <c r="J20" i="4"/>
  <c r="K20" i="4"/>
  <c r="J19" i="4"/>
  <c r="K19" i="4"/>
  <c r="J18" i="4"/>
  <c r="K18" i="4" a="1"/>
  <c r="K18" i="4"/>
  <c r="J17" i="4"/>
  <c r="Q17" i="4"/>
  <c r="J16" i="4"/>
  <c r="Q16" i="4"/>
  <c r="J15" i="4"/>
  <c r="Q15" i="4"/>
  <c r="J14" i="4"/>
  <c r="K14" i="4"/>
  <c r="J13" i="4"/>
  <c r="Q13" i="4"/>
  <c r="J12" i="4"/>
  <c r="K12" i="4"/>
  <c r="J11" i="4"/>
  <c r="K11" i="4" a="1"/>
  <c r="K11" i="4"/>
  <c r="J10" i="4"/>
  <c r="K10" i="4"/>
  <c r="J9" i="4"/>
  <c r="Q9" i="4"/>
  <c r="J8" i="4"/>
  <c r="K8" i="4"/>
  <c r="J7" i="4"/>
  <c r="K7" i="4"/>
  <c r="J6" i="4"/>
  <c r="K6" i="4"/>
  <c r="J5" i="4"/>
  <c r="K5" i="4"/>
  <c r="J4" i="4"/>
  <c r="K4" i="4"/>
  <c r="J3" i="4"/>
  <c r="K3" i="4"/>
  <c r="J2" i="4"/>
  <c r="K2" i="4"/>
  <c r="Q119" i="2"/>
  <c r="Q118" i="2"/>
  <c r="Q117" i="2"/>
  <c r="Q116" i="2"/>
  <c r="J115" i="2"/>
  <c r="J114" i="2"/>
  <c r="Q114" i="2"/>
  <c r="J113" i="2"/>
  <c r="Q113" i="2"/>
  <c r="J112" i="2"/>
  <c r="J111" i="2"/>
  <c r="K111" i="2" a="1"/>
  <c r="K111" i="2"/>
  <c r="J110" i="2"/>
  <c r="Q110" i="2"/>
  <c r="Q109" i="2"/>
  <c r="K109" i="2" a="1"/>
  <c r="K109" i="2"/>
  <c r="Q108" i="2"/>
  <c r="K108" i="2" a="1"/>
  <c r="K108" i="2"/>
  <c r="Q107" i="2"/>
  <c r="K107" i="2" a="1"/>
  <c r="K107" i="2"/>
  <c r="J106" i="2"/>
  <c r="Q106" i="2"/>
  <c r="J105" i="2"/>
  <c r="Q105" i="2"/>
  <c r="J104" i="2"/>
  <c r="Q104" i="2"/>
  <c r="J103" i="2"/>
  <c r="Q103" i="2"/>
  <c r="J102" i="2"/>
  <c r="Q102" i="2"/>
  <c r="J101" i="2"/>
  <c r="Q101" i="2"/>
  <c r="J100" i="2"/>
  <c r="Q100" i="2"/>
  <c r="J99" i="2"/>
  <c r="Q99" i="2"/>
  <c r="J98" i="2"/>
  <c r="Q98" i="2"/>
  <c r="J97" i="2"/>
  <c r="Q97" i="2"/>
  <c r="J96" i="2"/>
  <c r="Q96" i="2"/>
  <c r="J95" i="2"/>
  <c r="K95" i="2" a="1"/>
  <c r="K95" i="2"/>
  <c r="J94" i="2"/>
  <c r="Q94" i="2"/>
  <c r="J93" i="2"/>
  <c r="Q93" i="2"/>
  <c r="J92" i="2"/>
  <c r="Q92" i="2"/>
  <c r="J91" i="2"/>
  <c r="Q91" i="2"/>
  <c r="Q90" i="2"/>
  <c r="K90" i="2" a="1"/>
  <c r="K90" i="2"/>
  <c r="Q89" i="2"/>
  <c r="K89" i="2" a="1"/>
  <c r="K89" i="2"/>
  <c r="Q88" i="2"/>
  <c r="K88" i="2" a="1"/>
  <c r="K88" i="2"/>
  <c r="J87" i="2"/>
  <c r="K87" i="2" a="1"/>
  <c r="K87" i="2"/>
  <c r="J86" i="2"/>
  <c r="Q86" i="2"/>
  <c r="J85" i="2"/>
  <c r="Q85" i="2"/>
  <c r="J84" i="2"/>
  <c r="K84" i="2" a="1"/>
  <c r="K84" i="2"/>
  <c r="J83" i="2"/>
  <c r="K83" i="2" a="1"/>
  <c r="K83" i="2"/>
  <c r="J82" i="2"/>
  <c r="Q82" i="2"/>
  <c r="J81" i="2"/>
  <c r="Q81" i="2"/>
  <c r="J80" i="2"/>
  <c r="Q80" i="2"/>
  <c r="J79" i="2"/>
  <c r="Q79" i="2"/>
  <c r="J78" i="2"/>
  <c r="K78" i="2" a="1"/>
  <c r="K78" i="2"/>
  <c r="J77" i="2"/>
  <c r="K77" i="2" a="1"/>
  <c r="K77" i="2"/>
  <c r="J76" i="2"/>
  <c r="Q76" i="2"/>
  <c r="J75" i="2"/>
  <c r="Q75" i="2"/>
  <c r="J74" i="2"/>
  <c r="Q74" i="2"/>
  <c r="J73" i="2"/>
  <c r="Q73" i="2"/>
  <c r="J72" i="2"/>
  <c r="K72" i="2" a="1"/>
  <c r="K72" i="2"/>
  <c r="J71" i="2"/>
  <c r="K71" i="2" a="1"/>
  <c r="K71" i="2"/>
  <c r="J70" i="2"/>
  <c r="Q70" i="2"/>
  <c r="J69" i="2"/>
  <c r="Q69" i="2"/>
  <c r="J68" i="2"/>
  <c r="Q68" i="2"/>
  <c r="J67" i="2"/>
  <c r="Q67" i="2"/>
  <c r="J66" i="2"/>
  <c r="K66" i="2" a="1"/>
  <c r="K66" i="2"/>
  <c r="J65" i="2"/>
  <c r="Q65" i="2"/>
  <c r="J64" i="2"/>
  <c r="Q64" i="2"/>
  <c r="J63" i="2"/>
  <c r="Q63" i="2"/>
  <c r="J62" i="2"/>
  <c r="Q62" i="2"/>
  <c r="J61" i="2"/>
  <c r="Q61" i="2"/>
  <c r="Q60" i="2"/>
  <c r="K60" i="2" a="1"/>
  <c r="K60" i="2"/>
  <c r="J59" i="2"/>
  <c r="Q59" i="2"/>
  <c r="J58" i="2"/>
  <c r="Q58" i="2"/>
  <c r="J57" i="2"/>
  <c r="Q57" i="2"/>
  <c r="J56" i="2"/>
  <c r="Q56" i="2"/>
  <c r="J55" i="2"/>
  <c r="Q55" i="2"/>
  <c r="J54" i="2"/>
  <c r="Q54" i="2"/>
  <c r="J53" i="2"/>
  <c r="Q53" i="2"/>
  <c r="J52" i="2"/>
  <c r="Q52" i="2"/>
  <c r="J51" i="2"/>
  <c r="Q51" i="2"/>
  <c r="J50" i="2"/>
  <c r="Q50" i="2"/>
  <c r="J49" i="2"/>
  <c r="Q49" i="2"/>
  <c r="J48" i="2"/>
  <c r="Q48" i="2"/>
  <c r="J47" i="2"/>
  <c r="Q47" i="2"/>
  <c r="J46" i="2"/>
  <c r="Q46" i="2"/>
  <c r="J45" i="2"/>
  <c r="Q45" i="2"/>
  <c r="J44" i="2"/>
  <c r="Q44" i="2"/>
  <c r="J43" i="2"/>
  <c r="Q43" i="2"/>
  <c r="J42" i="2"/>
  <c r="Q42" i="2"/>
  <c r="J41" i="2"/>
  <c r="Q41" i="2"/>
  <c r="J40" i="2"/>
  <c r="Q40" i="2"/>
  <c r="J39" i="2"/>
  <c r="Q39" i="2"/>
  <c r="J38" i="2"/>
  <c r="Q38" i="2"/>
  <c r="J37" i="2"/>
  <c r="Q37" i="2"/>
  <c r="J36" i="2"/>
  <c r="Q36" i="2"/>
  <c r="J35" i="2"/>
  <c r="Q35" i="2"/>
  <c r="J34" i="2"/>
  <c r="Q34" i="2"/>
  <c r="J33" i="2"/>
  <c r="Q33" i="2"/>
  <c r="J32" i="2"/>
  <c r="Q32" i="2"/>
  <c r="J31" i="2"/>
  <c r="K31" i="2" a="1"/>
  <c r="K31" i="2"/>
  <c r="J30" i="2"/>
  <c r="Q30" i="2"/>
  <c r="J29" i="2"/>
  <c r="Q29" i="2"/>
  <c r="J28" i="2"/>
  <c r="Q28" i="2"/>
  <c r="J27" i="2"/>
  <c r="Q27" i="2"/>
  <c r="J26" i="2"/>
  <c r="Q26" i="2"/>
  <c r="J25" i="2"/>
  <c r="Q25" i="2"/>
  <c r="J24" i="2"/>
  <c r="Q24" i="2"/>
  <c r="J23" i="2"/>
  <c r="Q23" i="2"/>
  <c r="J22" i="2"/>
  <c r="Q22" i="2"/>
  <c r="J21" i="2"/>
  <c r="Q21" i="2"/>
  <c r="J20" i="2"/>
  <c r="Q20" i="2"/>
  <c r="J19" i="2"/>
  <c r="Q19" i="2"/>
  <c r="J18" i="2"/>
  <c r="Q18" i="2"/>
  <c r="J17" i="2"/>
  <c r="Q17" i="2"/>
  <c r="J16" i="2"/>
  <c r="Q16" i="2"/>
  <c r="J15" i="2"/>
  <c r="Q15" i="2"/>
  <c r="J14" i="2"/>
  <c r="Q14" i="2"/>
  <c r="J13" i="2"/>
  <c r="Q13" i="2"/>
  <c r="J12" i="2"/>
  <c r="Q12" i="2"/>
  <c r="J11" i="2"/>
  <c r="Q11" i="2"/>
  <c r="J10" i="2"/>
  <c r="K10" i="2" a="1"/>
  <c r="K10" i="2"/>
  <c r="J9" i="2"/>
  <c r="Q9" i="2"/>
  <c r="J8" i="2"/>
  <c r="Q8" i="2"/>
  <c r="J7" i="2"/>
  <c r="Q7" i="2"/>
  <c r="J6" i="2"/>
  <c r="Q6" i="2"/>
  <c r="Q5" i="2"/>
  <c r="K5" i="2" a="1"/>
  <c r="K5" i="2"/>
  <c r="J4" i="2"/>
  <c r="Q4" i="2"/>
  <c r="Q3" i="2"/>
  <c r="K3" i="2" a="1"/>
  <c r="K3" i="2"/>
  <c r="J2" i="2"/>
  <c r="Q18" i="4"/>
  <c r="Q25" i="4"/>
  <c r="Q76" i="4"/>
  <c r="Q11" i="4"/>
  <c r="K15" i="4" a="1"/>
  <c r="K15" i="4"/>
  <c r="Q97" i="4"/>
  <c r="K22" i="4" a="1"/>
  <c r="K22" i="4"/>
  <c r="K40" i="4" a="1"/>
  <c r="K40" i="4"/>
  <c r="K50" i="4" a="1"/>
  <c r="K50" i="4"/>
  <c r="K29" i="4" a="1"/>
  <c r="K29" i="4"/>
  <c r="K16" i="4" a="1"/>
  <c r="K16" i="4"/>
  <c r="K23" i="4" a="1"/>
  <c r="K23" i="4"/>
  <c r="K51" i="4" a="1"/>
  <c r="K51" i="4"/>
  <c r="K9" i="4" a="1"/>
  <c r="K9" i="4"/>
  <c r="K33" i="4" a="1"/>
  <c r="K33" i="4"/>
  <c r="K79" i="4" a="1"/>
  <c r="K79" i="4"/>
  <c r="K32" i="4" a="1"/>
  <c r="K32" i="4"/>
  <c r="K81" i="4" a="1"/>
  <c r="K81" i="4"/>
  <c r="K26" i="4" a="1"/>
  <c r="K26" i="4"/>
  <c r="K30" i="4" a="1"/>
  <c r="K30" i="4"/>
  <c r="K75" i="4" a="1"/>
  <c r="K75" i="4"/>
  <c r="K17" i="4" a="1"/>
  <c r="K17" i="4"/>
  <c r="K24" i="4" a="1"/>
  <c r="K24" i="4"/>
  <c r="Q21" i="4"/>
  <c r="K28" i="4" a="1"/>
  <c r="K28" i="4"/>
  <c r="K31" i="4" a="1"/>
  <c r="K31" i="4"/>
  <c r="K34" i="4" a="1"/>
  <c r="K34" i="4"/>
  <c r="Q49" i="4"/>
  <c r="K80" i="4"/>
  <c r="K13" i="4" a="1"/>
  <c r="K13" i="4"/>
  <c r="K46" i="2" a="1"/>
  <c r="K46" i="2"/>
  <c r="Q71" i="2"/>
  <c r="Q31" i="2"/>
  <c r="Q95" i="2"/>
  <c r="Q10" i="2"/>
  <c r="K25" i="2" a="1"/>
  <c r="K25" i="2"/>
  <c r="Q83" i="2"/>
  <c r="K40" i="2" a="1"/>
  <c r="K40" i="2"/>
  <c r="K61" i="2" a="1"/>
  <c r="K61" i="2"/>
  <c r="K67" i="2" a="1"/>
  <c r="K67" i="2"/>
  <c r="K104" i="2" a="1"/>
  <c r="K104" i="2"/>
  <c r="K19" i="2" a="1"/>
  <c r="K19" i="2"/>
  <c r="K55" i="2" a="1"/>
  <c r="K55" i="2"/>
  <c r="K73" i="2" a="1"/>
  <c r="K73" i="2"/>
  <c r="K79" i="2" a="1"/>
  <c r="K79" i="2"/>
  <c r="Q111" i="2"/>
  <c r="K34" i="2" a="1"/>
  <c r="K34" i="2"/>
  <c r="K85" i="2" a="1"/>
  <c r="K85" i="2"/>
  <c r="K98" i="2" a="1"/>
  <c r="K98" i="2"/>
  <c r="K13" i="2" a="1"/>
  <c r="K13" i="2"/>
  <c r="K49" i="2" a="1"/>
  <c r="K49" i="2"/>
  <c r="K28" i="2" a="1"/>
  <c r="K28" i="2"/>
  <c r="K92" i="2" a="1"/>
  <c r="K92" i="2"/>
  <c r="K43" i="2" a="1"/>
  <c r="K43" i="2"/>
  <c r="K22" i="2" a="1"/>
  <c r="K22" i="2"/>
  <c r="K58" i="2" a="1"/>
  <c r="K58" i="2"/>
  <c r="K64" i="2" a="1"/>
  <c r="K64" i="2"/>
  <c r="K70" i="2" a="1"/>
  <c r="K70" i="2"/>
  <c r="K37" i="2" a="1"/>
  <c r="K37" i="2"/>
  <c r="K76" i="2" a="1"/>
  <c r="K76" i="2"/>
  <c r="K82" i="2" a="1"/>
  <c r="K82" i="2"/>
  <c r="K101" i="2" a="1"/>
  <c r="K101" i="2"/>
  <c r="K16" i="2" a="1"/>
  <c r="K16" i="2"/>
  <c r="K52" i="2" a="1"/>
  <c r="K52" i="2"/>
  <c r="K29" i="2" a="1"/>
  <c r="K29" i="2"/>
  <c r="K47" i="2" a="1"/>
  <c r="K47" i="2"/>
  <c r="K86" i="2" a="1"/>
  <c r="K86" i="2"/>
  <c r="Q115" i="2"/>
  <c r="K115" i="2" a="1"/>
  <c r="K115" i="2"/>
  <c r="K68" i="2" a="1"/>
  <c r="K68" i="2"/>
  <c r="K7" i="2" a="1"/>
  <c r="K7" i="2"/>
  <c r="K38" i="2" a="1"/>
  <c r="K38" i="2"/>
  <c r="K56" i="2" a="1"/>
  <c r="K56" i="2"/>
  <c r="K93" i="2" a="1"/>
  <c r="K93" i="2"/>
  <c r="K102" i="2" a="1"/>
  <c r="K102" i="2"/>
  <c r="K65" i="2" a="1"/>
  <c r="K65" i="2"/>
  <c r="K114" i="2" a="1"/>
  <c r="K114" i="2"/>
  <c r="K4" i="2" a="1"/>
  <c r="K4" i="2"/>
  <c r="K26" i="2" a="1"/>
  <c r="K26" i="2"/>
  <c r="K35" i="2" a="1"/>
  <c r="K35" i="2"/>
  <c r="K44" i="2" a="1"/>
  <c r="K44" i="2"/>
  <c r="K62" i="2" a="1"/>
  <c r="K62" i="2"/>
  <c r="K74" i="2" a="1"/>
  <c r="K74" i="2"/>
  <c r="K80" i="2" a="1"/>
  <c r="K80" i="2"/>
  <c r="K112" i="2" a="1"/>
  <c r="K112" i="2"/>
  <c r="Q112" i="2"/>
  <c r="K11" i="2" a="1"/>
  <c r="K11" i="2"/>
  <c r="K20" i="2" a="1"/>
  <c r="K20" i="2"/>
  <c r="K8" i="2" a="1"/>
  <c r="K8" i="2"/>
  <c r="K53" i="2" a="1"/>
  <c r="K53" i="2"/>
  <c r="Q77" i="2"/>
  <c r="K32" i="2" a="1"/>
  <c r="K32" i="2"/>
  <c r="K41" i="2" a="1"/>
  <c r="K41" i="2"/>
  <c r="K105" i="2" a="1"/>
  <c r="K105" i="2"/>
  <c r="K2" i="2" a="1"/>
  <c r="K2" i="2"/>
  <c r="Q2" i="2"/>
  <c r="K17" i="2" a="1"/>
  <c r="K17" i="2"/>
  <c r="K99" i="2" a="1"/>
  <c r="K99" i="2"/>
  <c r="K14" i="2" a="1"/>
  <c r="K14" i="2"/>
  <c r="K23" i="2" a="1"/>
  <c r="K23" i="2"/>
  <c r="K50" i="2" a="1"/>
  <c r="K50" i="2"/>
  <c r="K59" i="2" a="1"/>
  <c r="K59" i="2"/>
  <c r="K96" i="2" a="1"/>
  <c r="K96" i="2"/>
  <c r="K63" i="2" a="1"/>
  <c r="K63" i="2"/>
  <c r="K69" i="2" a="1"/>
  <c r="K69" i="2"/>
  <c r="K75" i="2" a="1"/>
  <c r="K75" i="2"/>
  <c r="K81" i="2" a="1"/>
  <c r="K81" i="2"/>
  <c r="K9" i="2" a="1"/>
  <c r="K9" i="2"/>
  <c r="K18" i="2" a="1"/>
  <c r="K18" i="2"/>
  <c r="K24" i="2" a="1"/>
  <c r="K24" i="2"/>
  <c r="K27" i="2" a="1"/>
  <c r="K27" i="2"/>
  <c r="K30" i="2" a="1"/>
  <c r="K30" i="2"/>
  <c r="K36" i="2" a="1"/>
  <c r="K36" i="2"/>
  <c r="K39" i="2" a="1"/>
  <c r="K39" i="2"/>
  <c r="K42" i="2" a="1"/>
  <c r="K42" i="2"/>
  <c r="K45" i="2" a="1"/>
  <c r="K45" i="2"/>
  <c r="K51" i="2" a="1"/>
  <c r="K51" i="2"/>
  <c r="K54" i="2" a="1"/>
  <c r="K54" i="2"/>
  <c r="K57" i="2" a="1"/>
  <c r="K57" i="2"/>
  <c r="K91" i="2" a="1"/>
  <c r="K91" i="2"/>
  <c r="K94" i="2" a="1"/>
  <c r="K94" i="2"/>
  <c r="K97" i="2" a="1"/>
  <c r="K97" i="2"/>
  <c r="K100" i="2" a="1"/>
  <c r="K100" i="2"/>
  <c r="K103" i="2" a="1"/>
  <c r="K103" i="2"/>
  <c r="K106" i="2" a="1"/>
  <c r="K106" i="2"/>
  <c r="Q66" i="2"/>
  <c r="Q72" i="2"/>
  <c r="Q78" i="2"/>
  <c r="Q84" i="2"/>
  <c r="Q87" i="2"/>
  <c r="K110" i="2" a="1"/>
  <c r="K110" i="2"/>
  <c r="K113" i="2" a="1"/>
  <c r="K113" i="2"/>
  <c r="K6" i="2" a="1"/>
  <c r="K6" i="2"/>
  <c r="K12" i="2" a="1"/>
  <c r="K12" i="2"/>
  <c r="K15" i="2" a="1"/>
  <c r="K15" i="2"/>
  <c r="K21" i="2" a="1"/>
  <c r="K21" i="2"/>
  <c r="K33" i="2" a="1"/>
  <c r="K33" i="2"/>
  <c r="K48" i="2" a="1"/>
  <c r="K4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<sst xmlns="http://schemas.openxmlformats.org/spreadsheetml/2006/main" count="4170" uniqueCount="1032">
  <si>
    <t>PO Number</t>
  </si>
  <si>
    <t>إسم المسؤول - name</t>
  </si>
  <si>
    <t>القسم (قائمة) - Dep</t>
  </si>
  <si>
    <t xml:space="preserve"> الايميل او رقم طلب الشراء PR</t>
  </si>
  <si>
    <t>تاريخ طلب الشراء - PR Date</t>
  </si>
  <si>
    <t>التصنيف -Classification</t>
  </si>
  <si>
    <t>الجهه الطالبة - Requst Dep</t>
  </si>
  <si>
    <t>حجم الشراء المتوقع ( بالريال) - Expected Pur Amount</t>
  </si>
  <si>
    <t>وقت المعالجة المستحقة الى إنشاء امر شراء (يوم عمل)</t>
  </si>
  <si>
    <t>تاريخ بداية امر الشراء  Date PO</t>
  </si>
  <si>
    <t>وقت المعالجة الفعلي الى إنشاء امر شراء (المستغرق من المسؤول)</t>
  </si>
  <si>
    <t>SLA on time?</t>
  </si>
  <si>
    <t>رقم طلب الشراء No. PO</t>
  </si>
  <si>
    <t>تاريخ انتهاء امر الشراء Finishing Date PO</t>
  </si>
  <si>
    <t>تاريخ التوريد Supply date</t>
  </si>
  <si>
    <t>حالة الطلب</t>
  </si>
  <si>
    <t>ملاحظات</t>
  </si>
  <si>
    <t>مستوى الخدمة</t>
  </si>
  <si>
    <t>تم القيد على بيرفكس؟</t>
  </si>
  <si>
    <t xml:space="preserve">انس </t>
  </si>
  <si>
    <t>التقنية</t>
  </si>
  <si>
    <t>MRKT Procurement Category</t>
  </si>
  <si>
    <t>Anas Abdulaziz Ali Alnuqidan</t>
  </si>
  <si>
    <t>PO-102261</t>
  </si>
  <si>
    <t xml:space="preserve">Closed </t>
  </si>
  <si>
    <t>لا</t>
  </si>
  <si>
    <t>المشتريات العامة</t>
  </si>
  <si>
    <t>PR-055900</t>
  </si>
  <si>
    <t>OFFICE TABLE 140-104430</t>
  </si>
  <si>
    <t>Khalid Saeed Mohamed AL Wahlan</t>
  </si>
  <si>
    <t>PO-100903</t>
  </si>
  <si>
    <t>stocks PO-</t>
  </si>
  <si>
    <t>done</t>
  </si>
  <si>
    <t>PR-055933</t>
  </si>
  <si>
    <t>EXTENSION TABLE</t>
  </si>
  <si>
    <t>Khaled Salem Mohammed</t>
  </si>
  <si>
    <t>PO-102181</t>
  </si>
  <si>
    <t>13/10/2024</t>
  </si>
  <si>
    <t>PR-055936</t>
  </si>
  <si>
    <t>FURNITURE FOR NEW BRANCH 815 JEDDAH AL SALAMAH -104815</t>
  </si>
  <si>
    <t>محمد عاطف مسعد المتولي</t>
  </si>
  <si>
    <t>PO-099771-PO-100897-PO-100898-PO-100899-100900-PO-100903</t>
  </si>
  <si>
    <t>PR-055945</t>
  </si>
  <si>
    <t>OFFICE TABLE 160 W EXTENSION</t>
  </si>
  <si>
    <t>فرع طويق</t>
  </si>
  <si>
    <t>PO-102066-PO-100903</t>
  </si>
  <si>
    <t>john</t>
  </si>
  <si>
    <t>‪‪‪PR-055809</t>
  </si>
  <si>
    <t>ROLL CASHIER</t>
  </si>
  <si>
    <t>WAREHOUSE</t>
  </si>
  <si>
    <t>PO-102093</t>
  </si>
  <si>
    <t>Under Process</t>
  </si>
  <si>
    <t>duplicated</t>
  </si>
  <si>
    <t>PR-055964</t>
  </si>
  <si>
    <t>INVENTORY STICKER</t>
  </si>
  <si>
    <t xml:space="preserve">PO-102286 </t>
  </si>
  <si>
    <t>ROLL SCALE</t>
  </si>
  <si>
    <t>SCHEDULE COMITTEE MEETING  10/08/2024</t>
  </si>
  <si>
    <t>PR-055974</t>
  </si>
  <si>
    <t>NAPCO SOP-110 ALKALINE FOAM DETERGENT</t>
  </si>
  <si>
    <t>ZOD FACTORY</t>
  </si>
  <si>
    <t>PO-102287</t>
  </si>
  <si>
    <t>PR-055810</t>
  </si>
  <si>
    <t>CARCASS FABRIC</t>
  </si>
  <si>
    <t>ON GOING TENDER</t>
  </si>
  <si>
    <t>PR-055982</t>
  </si>
  <si>
    <t>FOAMLESS CLEANING MACHINE SOAP</t>
  </si>
  <si>
    <t>TRANSPORTATION DEPT</t>
  </si>
  <si>
    <t>PO-102300</t>
  </si>
  <si>
    <t xml:space="preserve">‪‪‪PR-055614‬‬ </t>
  </si>
  <si>
    <t>247 MMOBILY INTERNET RENEWAL</t>
  </si>
  <si>
    <t>247 BRANCHES AND DEPT</t>
  </si>
  <si>
    <t>PO-102236</t>
  </si>
  <si>
    <t>الفرج</t>
  </si>
  <si>
    <t>PR-055813</t>
  </si>
  <si>
    <t xml:space="preserve"> دريل </t>
  </si>
  <si>
    <t>632 ريال</t>
  </si>
  <si>
    <t>EMR-01072985</t>
  </si>
  <si>
    <t xml:space="preserve"> امن وسلامة</t>
  </si>
  <si>
    <t xml:space="preserve">التجهيزات </t>
  </si>
  <si>
    <t>1725 ريال</t>
  </si>
  <si>
    <t>PR-055849</t>
  </si>
  <si>
    <t>المستودع المركزي</t>
  </si>
  <si>
    <t>830 ريال</t>
  </si>
  <si>
    <t>EMR01074434</t>
  </si>
  <si>
    <t xml:space="preserve"> نظافة </t>
  </si>
  <si>
    <t>الشئون الادارية /م الرئيس</t>
  </si>
  <si>
    <t>280ريال</t>
  </si>
  <si>
    <t>EMR01074060</t>
  </si>
  <si>
    <t xml:space="preserve"> EMR01060876</t>
  </si>
  <si>
    <t xml:space="preserve">ادرج مطابخ </t>
  </si>
  <si>
    <t xml:space="preserve">الشئون الادارية </t>
  </si>
  <si>
    <t xml:space="preserve">2500 ريال </t>
  </si>
  <si>
    <t>EMR01068767</t>
  </si>
  <si>
    <t xml:space="preserve"> اشجار زينة </t>
  </si>
  <si>
    <t>المستودعات المركزية</t>
  </si>
  <si>
    <t xml:space="preserve">150 ريال </t>
  </si>
  <si>
    <t>EMR01059304</t>
  </si>
  <si>
    <t>التسويق / اكتساب</t>
  </si>
  <si>
    <t xml:space="preserve">300 ريال </t>
  </si>
  <si>
    <t xml:space="preserve"> الفرج </t>
  </si>
  <si>
    <t>PR055710</t>
  </si>
  <si>
    <t>اشجار زينة</t>
  </si>
  <si>
    <t xml:space="preserve">المستودعات المركزية </t>
  </si>
  <si>
    <t xml:space="preserve">450 ريال </t>
  </si>
  <si>
    <t>عصام</t>
  </si>
  <si>
    <t>ستائر رول</t>
  </si>
  <si>
    <t>الليث 453</t>
  </si>
  <si>
    <t>18/09/2024</t>
  </si>
  <si>
    <t>25/09/2024</t>
  </si>
  <si>
    <t>PR055796</t>
  </si>
  <si>
    <t xml:space="preserve">ادارة تطوير الاعمال </t>
  </si>
  <si>
    <t xml:space="preserve">الفرج </t>
  </si>
  <si>
    <t>PR055926</t>
  </si>
  <si>
    <t xml:space="preserve"> تاجير كرين </t>
  </si>
  <si>
    <t>3/10/204</t>
  </si>
  <si>
    <t>PR055701</t>
  </si>
  <si>
    <t xml:space="preserve"> اسطوانة غاز</t>
  </si>
  <si>
    <t>فرع 170</t>
  </si>
  <si>
    <t xml:space="preserve">500 ريال </t>
  </si>
  <si>
    <t>PR055697</t>
  </si>
  <si>
    <t xml:space="preserve"> اسطوانة غاز </t>
  </si>
  <si>
    <t xml:space="preserve">مستودع </t>
  </si>
  <si>
    <t>شهادة مطابقة</t>
  </si>
  <si>
    <t>مطابقة سابر</t>
  </si>
  <si>
    <t>المشتريات غير التجارية</t>
  </si>
  <si>
    <t>24/09/2024</t>
  </si>
  <si>
    <t>تيماء 433</t>
  </si>
  <si>
    <t>29/09/2024</t>
  </si>
  <si>
    <t>مكائن عد النقود</t>
  </si>
  <si>
    <t>التجهيزات - التشغيل</t>
  </si>
  <si>
    <t>22/09/2024</t>
  </si>
  <si>
    <t>فاطمة الزهراء 107</t>
  </si>
  <si>
    <t>16/09/2024</t>
  </si>
  <si>
    <t>28/09/2024</t>
  </si>
  <si>
    <t>هايبر السويدي 39</t>
  </si>
  <si>
    <t xml:space="preserve">ندى </t>
  </si>
  <si>
    <t>Dell (P3223DE) 32" (31.5") USB-C Hub Monitor - P/N: 210-BDGB</t>
  </si>
  <si>
    <t>Eyad Majed A Basabrain	213199</t>
  </si>
  <si>
    <t>PO-102248</t>
  </si>
  <si>
    <t>احمد صالح</t>
  </si>
  <si>
    <t>ايميل/ بلاط واجهة فرع الريان 106</t>
  </si>
  <si>
    <t>بلاط</t>
  </si>
  <si>
    <t>المشاريع</t>
  </si>
  <si>
    <t>PO-102268</t>
  </si>
  <si>
    <t>تعثر المورد وجاري العمل على تغييرة</t>
  </si>
  <si>
    <t>المستودعات</t>
  </si>
  <si>
    <t>الطلب معلق لدى المستودعات للتقييم والتوصية</t>
  </si>
  <si>
    <t>ايميل</t>
  </si>
  <si>
    <t>حساسات انذار</t>
  </si>
  <si>
    <t>تم تعليق الطلب من المستودعات</t>
  </si>
  <si>
    <t>JOHN</t>
  </si>
  <si>
    <t>PR-055571</t>
  </si>
  <si>
    <t>WHITE PAPER CAP</t>
  </si>
  <si>
    <t>PO-101754</t>
  </si>
  <si>
    <t>راكان</t>
  </si>
  <si>
    <t>أعمال حديدية كاونترات/ متعدد</t>
  </si>
  <si>
    <t>اعمال حديدية</t>
  </si>
  <si>
    <t>التجهيزات</t>
  </si>
  <si>
    <t>مكرر</t>
  </si>
  <si>
    <t>أعمال ستيل/764</t>
  </si>
  <si>
    <t>أعمال ستيل/769</t>
  </si>
  <si>
    <t>أعمال ستيل/170</t>
  </si>
  <si>
    <t>تنظيف واجهة الادارة</t>
  </si>
  <si>
    <t>نظافة</t>
  </si>
  <si>
    <t>الشئون الادارية</t>
  </si>
  <si>
    <t xml:space="preserve">شراء علامات تحذيرية </t>
  </si>
  <si>
    <t>مشتريات عامة</t>
  </si>
  <si>
    <t xml:space="preserve">المستودع </t>
  </si>
  <si>
    <t>شراء مواد امن وسلامة</t>
  </si>
  <si>
    <t>مشترايت عامة</t>
  </si>
  <si>
    <t>ادارة التجهيزات</t>
  </si>
  <si>
    <t>شراء دريل</t>
  </si>
  <si>
    <t>26/09/2024</t>
  </si>
  <si>
    <t>مواد نظافة</t>
  </si>
  <si>
    <t>مشتريات العامة</t>
  </si>
  <si>
    <t>الشؤن الادارية/ م الرئيس</t>
  </si>
  <si>
    <t xml:space="preserve"> اختام / PR055429</t>
  </si>
  <si>
    <t xml:space="preserve">اختام </t>
  </si>
  <si>
    <t xml:space="preserve"> فرع بريدة 30</t>
  </si>
  <si>
    <t xml:space="preserve">محمد حمشو </t>
  </si>
  <si>
    <t xml:space="preserve">اركان اكسبريس </t>
  </si>
  <si>
    <t xml:space="preserve">طبالي استانلس </t>
  </si>
  <si>
    <t>استاند خدمة ذاتية</t>
  </si>
  <si>
    <t xml:space="preserve">اعمال حديدية </t>
  </si>
  <si>
    <t xml:space="preserve">التقنية </t>
  </si>
  <si>
    <t xml:space="preserve">ماكينة ثلج </t>
  </si>
  <si>
    <t xml:space="preserve">المستودعات </t>
  </si>
  <si>
    <t xml:space="preserve">مكيف صحراوي </t>
  </si>
  <si>
    <t xml:space="preserve">الصيانة السلي 189 </t>
  </si>
  <si>
    <t xml:space="preserve">غرفة تخمير +اصلاح فرن </t>
  </si>
  <si>
    <t xml:space="preserve">الصيانة </t>
  </si>
  <si>
    <t xml:space="preserve">الصيانة ابو بكر 323 </t>
  </si>
  <si>
    <t>تركيب معدات 323</t>
  </si>
  <si>
    <t xml:space="preserve">فك وتركيب معدات 385 </t>
  </si>
  <si>
    <t>توريد معدات 769</t>
  </si>
  <si>
    <t>توريد معدات 815</t>
  </si>
  <si>
    <t>PR-055980</t>
  </si>
  <si>
    <t>OFFICE TABLE 120 CM (WOOD)</t>
  </si>
  <si>
    <t>فرع السلى _ العساف</t>
  </si>
  <si>
    <t>STOCK PO-</t>
  </si>
  <si>
    <t>PR-055902</t>
  </si>
  <si>
    <t>WORKSTATION</t>
  </si>
  <si>
    <t>زود - قسم التشغيل والمتابعة</t>
  </si>
  <si>
    <t>PO-102211</t>
  </si>
  <si>
    <t>PR-055585</t>
  </si>
  <si>
    <t>GAS+TANK ( CYLINDER)</t>
  </si>
  <si>
    <t>إدارة الشؤون الإدارية</t>
  </si>
  <si>
    <t>PO-101980</t>
  </si>
  <si>
    <t>PR-055533</t>
  </si>
  <si>
    <t>SPARE PARTS BIG PUNCHER</t>
  </si>
  <si>
    <t>إدارة الشؤون المالية</t>
  </si>
  <si>
    <t>PR-055424</t>
  </si>
  <si>
    <t>FLOOR MAT</t>
  </si>
  <si>
    <t>الاكاديمية</t>
  </si>
  <si>
    <t>PR-055272</t>
  </si>
  <si>
    <t>TV STAND</t>
  </si>
  <si>
    <t>مكتب نائب الرئيس التنفيذي لتطوير أعمال</t>
  </si>
  <si>
    <t>PR-053597</t>
  </si>
  <si>
    <t>إدارة الشئون الإداريه</t>
  </si>
  <si>
    <t>55" LED TV</t>
  </si>
  <si>
    <t>PO-100919</t>
  </si>
  <si>
    <t>PR-055984</t>
  </si>
  <si>
    <t>GARBAGE BIN SMALL</t>
  </si>
  <si>
    <t>PRICE COMPARISSON FOR APPROVAL ( START DATE 08/10/2024)</t>
  </si>
  <si>
    <t>‪‪‪PR-055901</t>
  </si>
  <si>
    <t>CALIBRATION 17 SCALES, ZOD FACTORY</t>
  </si>
  <si>
    <t>PO-102284</t>
  </si>
  <si>
    <t>‪‪‪PR-055974</t>
  </si>
  <si>
    <t>شقرا</t>
  </si>
  <si>
    <t xml:space="preserve">Othaim express shopping bags </t>
  </si>
  <si>
    <t xml:space="preserve">بلاستيك </t>
  </si>
  <si>
    <t xml:space="preserve">التشغيل </t>
  </si>
  <si>
    <t xml:space="preserve">not yet </t>
  </si>
  <si>
    <t xml:space="preserve">PET containers </t>
  </si>
  <si>
    <t xml:space="preserve">cling film </t>
  </si>
  <si>
    <t>vegetable roll  - PR-056003</t>
  </si>
  <si>
    <t xml:space="preserve">shopping bags - PR-056001 </t>
  </si>
  <si>
    <t>PO-101703</t>
  </si>
  <si>
    <t>PET JAR</t>
  </si>
  <si>
    <t xml:space="preserve">احمد عثمان </t>
  </si>
  <si>
    <t>مضخة الحريق الجوكي تعمل بصورة مستمرة مع انخفاض الضغط</t>
  </si>
  <si>
    <t>الصيانه</t>
  </si>
  <si>
    <t xml:space="preserve">Access door.باب الطوارئ الخلفي بمبني الادارة العامة </t>
  </si>
  <si>
    <t>PR-056002</t>
  </si>
  <si>
    <t>TRANSPORTATION CHARGE-402001</t>
  </si>
  <si>
    <t>PO-102291</t>
  </si>
  <si>
    <t>عبدالله</t>
  </si>
  <si>
    <t>Othaim express - price label</t>
  </si>
  <si>
    <t>7 أيام عمل</t>
  </si>
  <si>
    <t>ايميل - خطة شراء المركبات لعام 2024</t>
  </si>
  <si>
    <t>زياد</t>
  </si>
  <si>
    <t>ايميل - جديد عقد صيانة منطقة تبوك ( الزيارات الدورية )</t>
  </si>
  <si>
    <t>إبراهيم</t>
  </si>
  <si>
    <t>ايميل -Othaim Express (3D-WALL LETTER &amp; LOGO)  - لوحات الاقسام الداخلية مقاسات التنفيذ للاطلاع والتجهيز</t>
  </si>
  <si>
    <t>ايميل - (Forex 5mm - WH 77 signages) - طلب عمل لوحات للمستودع</t>
  </si>
  <si>
    <t>ندى</t>
  </si>
  <si>
    <t>PR-055996</t>
  </si>
  <si>
    <t>PO-102308</t>
  </si>
  <si>
    <t>PR-056011</t>
  </si>
  <si>
    <t>DIRECTOR CHAIR</t>
  </si>
  <si>
    <t>PO-102285</t>
  </si>
  <si>
    <t>PR-056000</t>
  </si>
  <si>
    <t>MANAGER CHAIR HB &amp; OFFICE TABLE 120CM</t>
  </si>
  <si>
    <t>PO-100903 &amp; PO-100900</t>
  </si>
  <si>
    <t>STOCKS PO-</t>
  </si>
  <si>
    <t>PR-055995</t>
  </si>
  <si>
    <t>WASHING MACHINE ARROW</t>
  </si>
  <si>
    <t>30/04/2024</t>
  </si>
  <si>
    <t>PO-096888</t>
  </si>
  <si>
    <t>PR-055992</t>
  </si>
  <si>
    <t>WASHING MACHINE (TOSHIBA)</t>
  </si>
  <si>
    <t>25/03/2024</t>
  </si>
  <si>
    <t>PO-096888 &amp; PO-095650</t>
  </si>
  <si>
    <t>PR-055991</t>
  </si>
  <si>
    <t>GAS+TANK ( CYLINDER) &amp; GAS REGULATOR (HOSE)</t>
  </si>
  <si>
    <t>PO-102305</t>
  </si>
  <si>
    <t>WAITING FOR INVOICED</t>
  </si>
  <si>
    <t>PR-055979</t>
  </si>
  <si>
    <t>SOFA 3 SEATER &amp; COFFEE / TEA TABLE</t>
  </si>
  <si>
    <t>PO-102307</t>
  </si>
  <si>
    <t>PO- APPROVAL</t>
  </si>
  <si>
    <t>PR-055722</t>
  </si>
  <si>
    <t>ZOD COLORED BARCODE</t>
  </si>
  <si>
    <t>COMPARISSON FOR APPROVAL (START 10/08/2024)</t>
  </si>
  <si>
    <t>رضا</t>
  </si>
  <si>
    <t>PR-055998</t>
  </si>
  <si>
    <t>PR-055963</t>
  </si>
  <si>
    <t>PR-055962</t>
  </si>
  <si>
    <t>PR-055956</t>
  </si>
  <si>
    <t>PR-055944</t>
  </si>
  <si>
    <t>‪‪‪PR-055873</t>
  </si>
  <si>
    <t>تعميد يدوي</t>
  </si>
  <si>
    <t>كمبراسير مع مسدس هواء</t>
  </si>
  <si>
    <t>6000 ريال</t>
  </si>
  <si>
    <t xml:space="preserve">مواد صيانة </t>
  </si>
  <si>
    <t>ادارة الصيانة</t>
  </si>
  <si>
    <t xml:space="preserve">stretch film </t>
  </si>
  <si>
    <t>انشاء مكتب  لادارة الجودة برفع  ضمك 63</t>
  </si>
  <si>
    <t>الصيانة</t>
  </si>
  <si>
    <t xml:space="preserve">عطل باب الخروج الاتوماتيك </t>
  </si>
  <si>
    <t>سابر ارفف</t>
  </si>
  <si>
    <t>شهادة جمارك</t>
  </si>
  <si>
    <t>قسم الشحن</t>
  </si>
  <si>
    <t>فرع اشبلية 363</t>
  </si>
  <si>
    <t>PR-055975</t>
  </si>
  <si>
    <t>MANAGER CHAIR HB</t>
  </si>
  <si>
    <t>فرع مكة حي الشوقية</t>
  </si>
  <si>
    <t>PO-100900</t>
  </si>
  <si>
    <t>PR-055970</t>
  </si>
  <si>
    <t>فرع وادي الدواسر-166</t>
  </si>
  <si>
    <t>PR-055968</t>
  </si>
  <si>
    <t>OFFICE CHAIR</t>
  </si>
  <si>
    <t>أسواق المجمعة</t>
  </si>
  <si>
    <t>PO-099771</t>
  </si>
  <si>
    <t>PR-055941</t>
  </si>
  <si>
    <t>16" PEDESTAL FAN W/ REMOTE</t>
  </si>
  <si>
    <t>إدارة التسويق</t>
  </si>
  <si>
    <t>PO-102358</t>
  </si>
  <si>
    <t>PHOTOFRAME</t>
  </si>
  <si>
    <t>LAMP</t>
  </si>
  <si>
    <t>CREDENZA</t>
  </si>
  <si>
    <t>PO-102359</t>
  </si>
  <si>
    <t>OFFICE GLASS OTHAIM STICKERS</t>
  </si>
  <si>
    <t>PO-102360</t>
  </si>
  <si>
    <t>QUOTATION</t>
  </si>
  <si>
    <t>PR-055939</t>
  </si>
  <si>
    <t>MOBILE PHONE</t>
  </si>
  <si>
    <t>إدارة الحركة و التتبع – إدارة النقل و الحركة</t>
  </si>
  <si>
    <t>WAITING FOR APPROVAL</t>
  </si>
  <si>
    <t>TURKISH COFFEE( HEAD OFFICE)</t>
  </si>
  <si>
    <t>HEAD OFFICE</t>
  </si>
  <si>
    <t xml:space="preserve">PO-102369 </t>
  </si>
  <si>
    <t>TURKISH COFFEE( WAREHOUSE)</t>
  </si>
  <si>
    <t>PO-102370</t>
  </si>
  <si>
    <t>COMPARISSON FOR APPROVAL (STARTED 10/10/2024)</t>
  </si>
  <si>
    <t>GREEN TEA</t>
  </si>
  <si>
    <t>PO-102391</t>
  </si>
  <si>
    <t>Monthly Subscription - Autodesk AutoCAD LT License: (2D &amp;Drafting)/ per user</t>
  </si>
  <si>
    <t>Mohamed Elboghdady محمد البغدادي 213873</t>
  </si>
  <si>
    <t>PO-102345</t>
  </si>
  <si>
    <t>Ahmed Mohammed Rafat Ahmed Alhaj Yousuf</t>
  </si>
  <si>
    <t>PO-102346</t>
  </si>
  <si>
    <t>under deleviry</t>
  </si>
  <si>
    <t>Fortinet FortiSwitch 224D-FPOE - P/N: FS-224D-FPOE</t>
  </si>
  <si>
    <t>Ali Hsan Ahmed Gazwani</t>
  </si>
  <si>
    <t>انتظار عروض الاسعار</t>
  </si>
  <si>
    <t>WELDING MACHINE MAXIMA 230 SYNERGIC</t>
  </si>
  <si>
    <t>الإدارة  العامة – إدارة النقل و الحركة</t>
  </si>
  <si>
    <t>PO-102078</t>
  </si>
  <si>
    <t>TRANSPORTATION CHARGE</t>
  </si>
  <si>
    <t>إدارة التجارة الالكترونية</t>
  </si>
  <si>
    <t>PO-102381</t>
  </si>
  <si>
    <t>Yealink Room Cast Wireless Presentation System-011 - P/N: 1203655</t>
  </si>
  <si>
    <t>محمد يحي حسن النعمي</t>
  </si>
  <si>
    <t>PO-102440</t>
  </si>
  <si>
    <t>COPY MACHINE TABLE,SOFA 3 SEATER,SOFA 1 SEATER</t>
  </si>
  <si>
    <t>إدارة المنطقة الوسطى</t>
  </si>
  <si>
    <t>PO-102314</t>
  </si>
  <si>
    <t>PO-102398</t>
  </si>
  <si>
    <t>WOODEN CABINET</t>
  </si>
  <si>
    <t>مستودع زود بالمنطقة الغربية ( جده )</t>
  </si>
  <si>
    <t>31/07/2024</t>
  </si>
  <si>
    <t>PO-099642</t>
  </si>
  <si>
    <t>WAREHOUSE COLORED BARCODE</t>
  </si>
  <si>
    <t>RIYADH WAREHOUSE</t>
  </si>
  <si>
    <t>PO-102427</t>
  </si>
  <si>
    <t>GABAGE BIG BIG</t>
  </si>
  <si>
    <t>PRICE COMPARISSON FOR APPROVAL (START 14/10/2024</t>
  </si>
  <si>
    <t>DUST PAN</t>
  </si>
  <si>
    <t>DRYMOP</t>
  </si>
  <si>
    <t>TOSHIBA WASHING MACHINE</t>
  </si>
  <si>
    <t>30/04/2024-25/03/2024</t>
  </si>
  <si>
    <t xml:space="preserve">OFFICE TABLE 140CM </t>
  </si>
  <si>
    <t>PO-102428</t>
  </si>
  <si>
    <t>FURNITURE FOR NEW BRANCH 816 AL NADA</t>
  </si>
  <si>
    <t>إدارة التجهيزات</t>
  </si>
  <si>
    <t>PO-100897*PO-100898 PO-100899-PO-100900-PO-100901-PO-100903</t>
  </si>
  <si>
    <t>HOME SWEETT HOME</t>
  </si>
  <si>
    <t>REFRIGIRATOR NIKAI</t>
  </si>
  <si>
    <t>PO-095650</t>
  </si>
  <si>
    <t>PICTURE FRAME A4 (HORIZONTAL)</t>
  </si>
  <si>
    <t>المراجعة الداخليه</t>
  </si>
  <si>
    <t>14/10/2024</t>
  </si>
  <si>
    <t>PO-102484</t>
  </si>
  <si>
    <t>SENIOUR VP OFFICE TABLE 285CM RIGHT SIDE</t>
  </si>
  <si>
    <t>إدارة المبيعات</t>
  </si>
  <si>
    <t>PO-102488</t>
  </si>
  <si>
    <t xml:space="preserve">Online Website - ShutterStock - </t>
  </si>
  <si>
    <t>Marketing</t>
  </si>
  <si>
    <t>6750 $</t>
  </si>
  <si>
    <t>انتظار اعتماد الرئيس</t>
  </si>
  <si>
    <t>COVER ALL (WORKSUITFOR ZOD FACTORY MAINTENANCE)</t>
  </si>
  <si>
    <t>PO-102513</t>
  </si>
  <si>
    <t>السلي 189</t>
  </si>
  <si>
    <t>15/10/2024</t>
  </si>
  <si>
    <t>GARBAG BAG SMALL;_10 GAL</t>
  </si>
  <si>
    <t>PRICE COMPARISSON FOR APPROVAL (START 15/10/2024</t>
  </si>
  <si>
    <t>ZOD FACTORY LABCOAT, SAFETY SHOES</t>
  </si>
  <si>
    <t>PO-102536</t>
  </si>
  <si>
    <t>أخرى</t>
  </si>
  <si>
    <t>BLACK POLY CARBON TRAY 1/3 X 10 CM DEEP - 402007</t>
  </si>
  <si>
    <t xml:space="preserve"> ODOR DIFFUSER REFILL</t>
  </si>
  <si>
    <t>WINDOW BLINDS-102161</t>
  </si>
  <si>
    <t>SIM CARD - 304007</t>
  </si>
  <si>
    <t xml:space="preserve"> SIM CARD - 304001</t>
  </si>
  <si>
    <t>ODOR DIFFUSER REFILL - 304008</t>
  </si>
  <si>
    <t>SIM CARD - 304001</t>
  </si>
  <si>
    <t>GREEN CARPET - 104008</t>
  </si>
  <si>
    <t>MANAGER CHAIR HB-104432</t>
  </si>
  <si>
    <t xml:space="preserve"> TURKISH COFFEE KETTLE</t>
  </si>
  <si>
    <t>CARTON SIZE: 40 L X 37 W X 38 H-307002</t>
  </si>
  <si>
    <t>EXECUTIVE TABLE-104394</t>
  </si>
  <si>
    <t>chopping board RED (small) 60 x 40 - 402007</t>
  </si>
  <si>
    <t xml:space="preserve"> ROUTER - 404001</t>
  </si>
  <si>
    <t>GAS REGULATOR+HOSE-104764</t>
  </si>
  <si>
    <t xml:space="preserve"> OFFICE CHAIR - 404001</t>
  </si>
  <si>
    <t>CALIBRATION WEIGHING SCALE - 104138</t>
  </si>
  <si>
    <t>WASHING MACHINE (SAMSUNG) - 304001</t>
  </si>
  <si>
    <t xml:space="preserve"> COLD STORE JACKET (JACKET + PANTS) - 201104</t>
  </si>
  <si>
    <t>COLD STORE JACKET (JACKET + PANTS) - 201104</t>
  </si>
  <si>
    <t>MANAGER CHAIR HB - 201001</t>
  </si>
  <si>
    <t>COVER ALL - 201004</t>
  </si>
  <si>
    <t xml:space="preserve"> JACKET - 104328</t>
  </si>
  <si>
    <t xml:space="preserve"> OFFICE CHAIR-104370</t>
  </si>
  <si>
    <t xml:space="preserve">WOODEN CABINET-310001	</t>
  </si>
  <si>
    <t>PDU CUSTOMIZED-302001</t>
  </si>
  <si>
    <t xml:space="preserve"> MOBILE PHONE-307002	</t>
  </si>
  <si>
    <t xml:space="preserve"> TV STAND ( 50-60 INCH TV)-307001</t>
  </si>
  <si>
    <t>ROUTER-104361</t>
  </si>
  <si>
    <t>OFFICE CHAIR-104411</t>
  </si>
  <si>
    <t>VP OFFICE TABLE 285CM RIGHT SIDE-302001</t>
  </si>
  <si>
    <t>SOFA 3 SEATER - 302028</t>
  </si>
  <si>
    <t xml:space="preserve"> REFRIGIRATOR (SMALL)-302028</t>
  </si>
  <si>
    <t xml:space="preserve"> STICKER WHITE BOARD _180 X 120-307001</t>
  </si>
  <si>
    <t>Container 6 Yard-Monthly-402001</t>
  </si>
  <si>
    <t>GAS+TANK ( CYLINDER)-104745</t>
  </si>
  <si>
    <t>PICTURE FRAME A4 (VERTICAL)-404001</t>
  </si>
  <si>
    <t>INTERNET SIM CARD-407010</t>
  </si>
  <si>
    <t>DECORATIVE PLANT_FOR OFFICE-304001</t>
  </si>
  <si>
    <t>WASHING MACHINE (SAMSUNG)-304001</t>
  </si>
  <si>
    <t>REFRIGIRATOR HAIER-104802</t>
  </si>
  <si>
    <t>HALEY WATER</t>
  </si>
  <si>
    <t>QUICK CONNECTION ES8T-301099</t>
  </si>
  <si>
    <t>16" PEDESTAL FAN W/ REMOTE-307001</t>
  </si>
  <si>
    <t>OFFICE CHAIR - 301077</t>
  </si>
  <si>
    <t xml:space="preserve"> MANUAL STRAPPING MACHINE (JAPAN) - 301003</t>
  </si>
  <si>
    <t>WATER DISPENSER-301077</t>
  </si>
  <si>
    <t xml:space="preserve"> BOX TISSUE</t>
  </si>
  <si>
    <t>PLASTIC BAG SEALER - 402007</t>
  </si>
  <si>
    <t>LADDER 12 STEPS - 402007</t>
  </si>
  <si>
    <t xml:space="preserve"> KNIFE SHARPENER ( STEEL) - 402007</t>
  </si>
  <si>
    <t>مؤسسة خيرات الباطن للمقاولات</t>
  </si>
  <si>
    <t xml:space="preserve"> COPY MACHINE TABLE-302018</t>
  </si>
  <si>
    <t xml:space="preserve">REFRIGIRATOR (SMALL)-302028	</t>
  </si>
  <si>
    <t>DECORATIVE PLANT-301099</t>
  </si>
  <si>
    <t>BRANCH STAMP-104481</t>
  </si>
  <si>
    <t>GARBAGE BIN SMALL-402007</t>
  </si>
  <si>
    <t>PVC SHEET CLEAR A4-403002</t>
  </si>
  <si>
    <t>GAS REGULATOR+HOSE-104797</t>
  </si>
  <si>
    <t>RUBBER BAND-402007</t>
  </si>
  <si>
    <t>BAKERY TOOLS GLOVES-104188</t>
  </si>
  <si>
    <t>REFLECTORIZED TAPE-402001</t>
  </si>
  <si>
    <t xml:space="preserve">CARTON SIZE: 47.5 L X 31.5 W X 20 H-307002	</t>
  </si>
  <si>
    <t>ROUND WATER GALLON (18 LTR)</t>
  </si>
  <si>
    <t>WASHING MACHINE (TOSHIBA)-104050</t>
  </si>
  <si>
    <t>WASHING MACHINE (SAMSUNG) - 104189</t>
  </si>
  <si>
    <t xml:space="preserve">OFFICE GLASS OTHAIM STICKERS - 307010	</t>
  </si>
  <si>
    <t>STEEL CABINET (4 DRAWERS) - 104172</t>
  </si>
  <si>
    <t xml:space="preserve">WOODEN CABINET-301502	</t>
  </si>
  <si>
    <t>BUSINESS CARD-401003</t>
  </si>
  <si>
    <t xml:space="preserve">MEDICAL CHAIR-302018	</t>
  </si>
  <si>
    <t>TOOL BOX-407010</t>
  </si>
  <si>
    <t>Sattarhaji Mohammad Angadi	19409</t>
  </si>
  <si>
    <t>Mohmmed Yeiha Al-nami	6379</t>
  </si>
  <si>
    <t>Mohamed Nabil Gaber Elsandbasti	18964</t>
  </si>
  <si>
    <t>Mahmoud Elhout محمود الحوت</t>
  </si>
  <si>
    <t>Hussein Aly Hussien Abdelrahman	214518</t>
  </si>
  <si>
    <t xml:space="preserve">Helmy Anwar Ali Abdelmonem	212235	</t>
  </si>
  <si>
    <t>John</t>
  </si>
  <si>
    <t>General</t>
  </si>
  <si>
    <t>IT</t>
  </si>
  <si>
    <t xml:space="preserve">Equipment </t>
  </si>
  <si>
    <t>Sara</t>
  </si>
  <si>
    <t>Mike</t>
  </si>
  <si>
    <t>Emma</t>
  </si>
  <si>
    <t>Noah</t>
  </si>
  <si>
    <t>Henry</t>
  </si>
  <si>
    <t>A</t>
  </si>
  <si>
    <t>B</t>
  </si>
  <si>
    <t># PR</t>
  </si>
  <si>
    <t>PR-0001</t>
  </si>
  <si>
    <t>PR-0002</t>
  </si>
  <si>
    <t>PR-0003</t>
  </si>
  <si>
    <t>PR-0004</t>
  </si>
  <si>
    <t>PR-0005</t>
  </si>
  <si>
    <t>PR-0006</t>
  </si>
  <si>
    <t>PR-0007</t>
  </si>
  <si>
    <t>PR-0008</t>
  </si>
  <si>
    <t>PR-0009</t>
  </si>
  <si>
    <t>PR-0010</t>
  </si>
  <si>
    <t>PR-0011</t>
  </si>
  <si>
    <t>PR-0012</t>
  </si>
  <si>
    <t>PR-0013</t>
  </si>
  <si>
    <t>PR-0014</t>
  </si>
  <si>
    <t>PR-0015</t>
  </si>
  <si>
    <t>PR-0016</t>
  </si>
  <si>
    <t>PR-0017</t>
  </si>
  <si>
    <t>PR-0018</t>
  </si>
  <si>
    <t>PR-0019</t>
  </si>
  <si>
    <t>PR-0020</t>
  </si>
  <si>
    <t>PR-0021</t>
  </si>
  <si>
    <t>PR-0022</t>
  </si>
  <si>
    <t>PR-0023</t>
  </si>
  <si>
    <t>PR-0024</t>
  </si>
  <si>
    <t>PR-0025</t>
  </si>
  <si>
    <t>PR-0026</t>
  </si>
  <si>
    <t>PR-0027</t>
  </si>
  <si>
    <t>PR-0028</t>
  </si>
  <si>
    <t>PR-0029</t>
  </si>
  <si>
    <t>PR-0030</t>
  </si>
  <si>
    <t>PR-0031</t>
  </si>
  <si>
    <t>PR-0032</t>
  </si>
  <si>
    <t>PR-0033</t>
  </si>
  <si>
    <t>PR-0034</t>
  </si>
  <si>
    <t>PR-0035</t>
  </si>
  <si>
    <t>PR-0036</t>
  </si>
  <si>
    <t>PR-0037</t>
  </si>
  <si>
    <t>PR-0038</t>
  </si>
  <si>
    <t>PR-0039</t>
  </si>
  <si>
    <t>PR-0040</t>
  </si>
  <si>
    <t>PR-0041</t>
  </si>
  <si>
    <t>PR-0042</t>
  </si>
  <si>
    <t>PR-0043</t>
  </si>
  <si>
    <t>PR-0044</t>
  </si>
  <si>
    <t>PR-0045</t>
  </si>
  <si>
    <t>PR-0046</t>
  </si>
  <si>
    <t>PR-0047</t>
  </si>
  <si>
    <t>PR-0048</t>
  </si>
  <si>
    <t>PR-0049</t>
  </si>
  <si>
    <t>PR-0050</t>
  </si>
  <si>
    <t>PR-0051</t>
  </si>
  <si>
    <t>PR-0052</t>
  </si>
  <si>
    <t>PR-0053</t>
  </si>
  <si>
    <t>PR-0054</t>
  </si>
  <si>
    <t>PR-0055</t>
  </si>
  <si>
    <t>PR-0056</t>
  </si>
  <si>
    <t>PR-0057</t>
  </si>
  <si>
    <t>PR-0058</t>
  </si>
  <si>
    <t>PR-0059</t>
  </si>
  <si>
    <t>PR-0060</t>
  </si>
  <si>
    <t>PR-0061</t>
  </si>
  <si>
    <t>PR-0062</t>
  </si>
  <si>
    <t>PR-0063</t>
  </si>
  <si>
    <t>PR-0064</t>
  </si>
  <si>
    <t>PR-0065</t>
  </si>
  <si>
    <t>PR-0066</t>
  </si>
  <si>
    <t>PR-0067</t>
  </si>
  <si>
    <t>PR-0068</t>
  </si>
  <si>
    <t>PR-0069</t>
  </si>
  <si>
    <t>PR-0070</t>
  </si>
  <si>
    <t>PR-0071</t>
  </si>
  <si>
    <t>PR-0072</t>
  </si>
  <si>
    <t>PR-0073</t>
  </si>
  <si>
    <t>PR-0074</t>
  </si>
  <si>
    <t>PR-0075</t>
  </si>
  <si>
    <t>PR-0076</t>
  </si>
  <si>
    <t>PR-0077</t>
  </si>
  <si>
    <t>PR-0078</t>
  </si>
  <si>
    <t>PR-0079</t>
  </si>
  <si>
    <t>PR-0080</t>
  </si>
  <si>
    <t>PR-0081</t>
  </si>
  <si>
    <t>PR-0082</t>
  </si>
  <si>
    <t>PR-0083</t>
  </si>
  <si>
    <t>PR-0084</t>
  </si>
  <si>
    <t>PR-0085</t>
  </si>
  <si>
    <t>PR-0086</t>
  </si>
  <si>
    <t>PR-0087</t>
  </si>
  <si>
    <t>PR-0088</t>
  </si>
  <si>
    <t>PR-0089</t>
  </si>
  <si>
    <t>PR-0090</t>
  </si>
  <si>
    <t>PR-0091</t>
  </si>
  <si>
    <t>PR-0092</t>
  </si>
  <si>
    <t>PR-0093</t>
  </si>
  <si>
    <t>PR-0094</t>
  </si>
  <si>
    <t>PR-0095</t>
  </si>
  <si>
    <t>PR-0096</t>
  </si>
  <si>
    <t>PR-0097</t>
  </si>
  <si>
    <t>PR-0098</t>
  </si>
  <si>
    <t>PR-0099</t>
  </si>
  <si>
    <t>PR-0100</t>
  </si>
  <si>
    <t>PR-0101</t>
  </si>
  <si>
    <t>PR-0102</t>
  </si>
  <si>
    <t>PR-0103</t>
  </si>
  <si>
    <t>PR-0104</t>
  </si>
  <si>
    <t>PR-0105</t>
  </si>
  <si>
    <t>PR-0106</t>
  </si>
  <si>
    <t>PR-0107</t>
  </si>
  <si>
    <t>PR-0108</t>
  </si>
  <si>
    <t>PR-0109</t>
  </si>
  <si>
    <t>PR-0110</t>
  </si>
  <si>
    <t>PR-0111</t>
  </si>
  <si>
    <t>PR-0112</t>
  </si>
  <si>
    <t>PR-0113</t>
  </si>
  <si>
    <t>PR-0114</t>
  </si>
  <si>
    <t>PR-0115</t>
  </si>
  <si>
    <t>PR-0116</t>
  </si>
  <si>
    <t>PR-0117</t>
  </si>
  <si>
    <t>PR-0118</t>
  </si>
  <si>
    <t>PR-0119</t>
  </si>
  <si>
    <t>PR-0120</t>
  </si>
  <si>
    <t>PR-0121</t>
  </si>
  <si>
    <t>PR-0122</t>
  </si>
  <si>
    <t>PR-0123</t>
  </si>
  <si>
    <t>PR-0124</t>
  </si>
  <si>
    <t>PR-0125</t>
  </si>
  <si>
    <t>PR-0126</t>
  </si>
  <si>
    <t>PR-0127</t>
  </si>
  <si>
    <t>PR-0128</t>
  </si>
  <si>
    <t>PR-0129</t>
  </si>
  <si>
    <t>PR-0130</t>
  </si>
  <si>
    <t>PR-0131</t>
  </si>
  <si>
    <t>PR-0132</t>
  </si>
  <si>
    <t>PR-0133</t>
  </si>
  <si>
    <t>PR-0134</t>
  </si>
  <si>
    <t>PR-0135</t>
  </si>
  <si>
    <t>PR-0136</t>
  </si>
  <si>
    <t>PR-0137</t>
  </si>
  <si>
    <t>PR-0138</t>
  </si>
  <si>
    <t>PR-0139</t>
  </si>
  <si>
    <t>PR-0140</t>
  </si>
  <si>
    <t>PR-0141</t>
  </si>
  <si>
    <t>PR-0142</t>
  </si>
  <si>
    <t>PR-0143</t>
  </si>
  <si>
    <t>PR-0144</t>
  </si>
  <si>
    <t>PR-0145</t>
  </si>
  <si>
    <t>PR-0146</t>
  </si>
  <si>
    <t>PR-0147</t>
  </si>
  <si>
    <t>PR-0148</t>
  </si>
  <si>
    <t>PR-0149</t>
  </si>
  <si>
    <t>PR-0150</t>
  </si>
  <si>
    <t>PR-0151</t>
  </si>
  <si>
    <t>PR-0152</t>
  </si>
  <si>
    <t>PR-0153</t>
  </si>
  <si>
    <t>PR-0154</t>
  </si>
  <si>
    <t>PR-0155</t>
  </si>
  <si>
    <t>PR-0156</t>
  </si>
  <si>
    <t>PR-0157</t>
  </si>
  <si>
    <t>PR-0158</t>
  </si>
  <si>
    <t>PR-0159</t>
  </si>
  <si>
    <t>PR-0160</t>
  </si>
  <si>
    <t>PR-0161</t>
  </si>
  <si>
    <t>PR-0162</t>
  </si>
  <si>
    <t>PR-0163</t>
  </si>
  <si>
    <t>PR-0164</t>
  </si>
  <si>
    <t>PR-0165</t>
  </si>
  <si>
    <t>PR-0166</t>
  </si>
  <si>
    <t>PR-0167</t>
  </si>
  <si>
    <t>PR-0168</t>
  </si>
  <si>
    <t>PR-0169</t>
  </si>
  <si>
    <t>PR-0170</t>
  </si>
  <si>
    <t>PR-0171</t>
  </si>
  <si>
    <t>PR-0172</t>
  </si>
  <si>
    <t>PR-0173</t>
  </si>
  <si>
    <t>PR-0174</t>
  </si>
  <si>
    <t>PR-0175</t>
  </si>
  <si>
    <t>PR-0176</t>
  </si>
  <si>
    <t>PR-0177</t>
  </si>
  <si>
    <t>PR-0178</t>
  </si>
  <si>
    <t>PR-0179</t>
  </si>
  <si>
    <t>PR-0180</t>
  </si>
  <si>
    <t>PR-0181</t>
  </si>
  <si>
    <t>PR-0182</t>
  </si>
  <si>
    <t>PR-0183</t>
  </si>
  <si>
    <t>PR-0184</t>
  </si>
  <si>
    <t>PR-0185</t>
  </si>
  <si>
    <t>PR-0186</t>
  </si>
  <si>
    <t>PR-0187</t>
  </si>
  <si>
    <t>PR-0188</t>
  </si>
  <si>
    <t>PR-0189</t>
  </si>
  <si>
    <t>PR-0190</t>
  </si>
  <si>
    <t>PR-0191</t>
  </si>
  <si>
    <t>PR-0192</t>
  </si>
  <si>
    <t>PR-0193</t>
  </si>
  <si>
    <t>PR-0194</t>
  </si>
  <si>
    <t>PR-0195</t>
  </si>
  <si>
    <t>PR-0196</t>
  </si>
  <si>
    <t>PR-0197</t>
  </si>
  <si>
    <t>PR-0198</t>
  </si>
  <si>
    <t>PR-0199</t>
  </si>
  <si>
    <t>PR-0200</t>
  </si>
  <si>
    <t>PR-0201</t>
  </si>
  <si>
    <t>PR-0202</t>
  </si>
  <si>
    <t>PR-0203</t>
  </si>
  <si>
    <t>PR-0204</t>
  </si>
  <si>
    <t>PR-0205</t>
  </si>
  <si>
    <t>PR-0206</t>
  </si>
  <si>
    <t>PR-0207</t>
  </si>
  <si>
    <t>PR-0208</t>
  </si>
  <si>
    <t>PR-0209</t>
  </si>
  <si>
    <t>PR-0210</t>
  </si>
  <si>
    <t>PR-0211</t>
  </si>
  <si>
    <t>PR-0212</t>
  </si>
  <si>
    <t>PR-0213</t>
  </si>
  <si>
    <t>PR-0214</t>
  </si>
  <si>
    <t>PR-0215</t>
  </si>
  <si>
    <t>PR-0216</t>
  </si>
  <si>
    <t>PR-0217</t>
  </si>
  <si>
    <t>PR-0218</t>
  </si>
  <si>
    <t>PR-0219</t>
  </si>
  <si>
    <t>PR-0220</t>
  </si>
  <si>
    <t>PR-0221</t>
  </si>
  <si>
    <t>PR-0222</t>
  </si>
  <si>
    <t>PR-0223</t>
  </si>
  <si>
    <t>PR-0224</t>
  </si>
  <si>
    <t>PR-0225</t>
  </si>
  <si>
    <t>PR-0226</t>
  </si>
  <si>
    <t>PR-0227</t>
  </si>
  <si>
    <t>PR-0228</t>
  </si>
  <si>
    <t>PR-0229</t>
  </si>
  <si>
    <t>PR-0230</t>
  </si>
  <si>
    <t>PR-0231</t>
  </si>
  <si>
    <t>PR-0232</t>
  </si>
  <si>
    <t>PR-0233</t>
  </si>
  <si>
    <t>PR-0234</t>
  </si>
  <si>
    <t>PR Date</t>
  </si>
  <si>
    <t>Item description</t>
  </si>
  <si>
    <t>Cars</t>
  </si>
  <si>
    <t>Camera</t>
  </si>
  <si>
    <t>Iron</t>
  </si>
  <si>
    <t>Requsted Dep</t>
  </si>
  <si>
    <t>SLA on time? - copy</t>
  </si>
  <si>
    <t>100</t>
  </si>
  <si>
    <t>Apple MacBook Pro 16 M3 Pro Retina XDR Laptop</t>
  </si>
  <si>
    <t>Hany Mokhtar هاني مختار</t>
  </si>
  <si>
    <t>Will change the specs of item</t>
  </si>
  <si>
    <t>Annual Subscription - DeliLabel by MarketSquare</t>
  </si>
  <si>
    <t>Michael Lomas ميشايل لوماس</t>
  </si>
  <si>
    <t>انتظار موقع الشراء</t>
  </si>
  <si>
    <t>Donnee</t>
  </si>
  <si>
    <t xml:space="preserve">FURNITURE FOR NEW BRANCH 815 </t>
  </si>
  <si>
    <t>Error - workflow</t>
  </si>
  <si>
    <t>Hussein Abdelrahman حسين عبد الرحمن</t>
  </si>
  <si>
    <t>ايميل/ بوابة سريعة</t>
  </si>
  <si>
    <t>بوابات</t>
  </si>
  <si>
    <t>صيانة فرج/ الادارة</t>
  </si>
  <si>
    <t xml:space="preserve"> duplicated</t>
  </si>
  <si>
    <t> </t>
  </si>
  <si>
    <t>COMPARISSON FOR APPROVAL (START 10/08/2024</t>
  </si>
  <si>
    <t>Equipment</t>
  </si>
  <si>
    <t>Name 2</t>
  </si>
  <si>
    <t>Name 1</t>
  </si>
  <si>
    <t>Name 4</t>
  </si>
  <si>
    <t>Name 5</t>
  </si>
  <si>
    <t>Name 6</t>
  </si>
  <si>
    <t>Name 7</t>
  </si>
  <si>
    <t>PR #</t>
  </si>
  <si>
    <t>Department</t>
  </si>
  <si>
    <t xml:space="preserve">  PR Date</t>
  </si>
  <si>
    <t>Dep 1</t>
  </si>
  <si>
    <t xml:space="preserve">Dep 2 </t>
  </si>
  <si>
    <t>Dep 3</t>
  </si>
  <si>
    <t xml:space="preserve"> Name</t>
  </si>
  <si>
    <t>Items</t>
  </si>
  <si>
    <t>Phone</t>
  </si>
  <si>
    <t>Plastic</t>
  </si>
  <si>
    <t>Dep 4</t>
  </si>
  <si>
    <t>Laptop</t>
  </si>
  <si>
    <t>Autodesk AutoCAD  License</t>
  </si>
  <si>
    <t>Saas App</t>
  </si>
  <si>
    <t>PO-0001</t>
  </si>
  <si>
    <t>PO-0002</t>
  </si>
  <si>
    <t>PO-0003</t>
  </si>
  <si>
    <t>PO-0004</t>
  </si>
  <si>
    <t>PO-0005</t>
  </si>
  <si>
    <t>PO-0006</t>
  </si>
  <si>
    <t>PO-0007</t>
  </si>
  <si>
    <t>PO-0008</t>
  </si>
  <si>
    <t>PO-0009</t>
  </si>
  <si>
    <t>PO-0010</t>
  </si>
  <si>
    <t>PO-0011</t>
  </si>
  <si>
    <t>PO-0012</t>
  </si>
  <si>
    <t>PO-0013</t>
  </si>
  <si>
    <t>PO-0014</t>
  </si>
  <si>
    <t>PO-0015</t>
  </si>
  <si>
    <t>PO-0016</t>
  </si>
  <si>
    <t>PO-0017</t>
  </si>
  <si>
    <t>PO-0018</t>
  </si>
  <si>
    <t>PO-0019</t>
  </si>
  <si>
    <t>PO-0020</t>
  </si>
  <si>
    <t>PO-0021</t>
  </si>
  <si>
    <t>PO-0022</t>
  </si>
  <si>
    <t>PO-0023</t>
  </si>
  <si>
    <t>PO-0024</t>
  </si>
  <si>
    <t>PO-0025</t>
  </si>
  <si>
    <t>PO-0026</t>
  </si>
  <si>
    <t>PO-0027</t>
  </si>
  <si>
    <t>PO-0028</t>
  </si>
  <si>
    <t>PO-0029</t>
  </si>
  <si>
    <t>PO-0030</t>
  </si>
  <si>
    <t>PO-0031</t>
  </si>
  <si>
    <t>PO-0032</t>
  </si>
  <si>
    <t>PO-0033</t>
  </si>
  <si>
    <t>PO-0034</t>
  </si>
  <si>
    <t>PO-0035</t>
  </si>
  <si>
    <t>PO-0036</t>
  </si>
  <si>
    <t>PO-0037</t>
  </si>
  <si>
    <t>PO-0038</t>
  </si>
  <si>
    <t>PO-0039</t>
  </si>
  <si>
    <t>PO-0040</t>
  </si>
  <si>
    <t>PO-0041</t>
  </si>
  <si>
    <t>PO-0042</t>
  </si>
  <si>
    <t>PO-0043</t>
  </si>
  <si>
    <t>PO-0044</t>
  </si>
  <si>
    <t>PO-0045</t>
  </si>
  <si>
    <t>PO-0046</t>
  </si>
  <si>
    <t>PO-0047</t>
  </si>
  <si>
    <t>PO-0048</t>
  </si>
  <si>
    <t>PO-0049</t>
  </si>
  <si>
    <t>PO-0050</t>
  </si>
  <si>
    <t>PO-0051</t>
  </si>
  <si>
    <t>PO-0052</t>
  </si>
  <si>
    <t>PO-0053</t>
  </si>
  <si>
    <t>PO-0054</t>
  </si>
  <si>
    <t>PO-0055</t>
  </si>
  <si>
    <t>PO-0056</t>
  </si>
  <si>
    <t>PO-0057</t>
  </si>
  <si>
    <t>PO-0058</t>
  </si>
  <si>
    <t>PO-0059</t>
  </si>
  <si>
    <t>PO-0060</t>
  </si>
  <si>
    <t>PO-0061</t>
  </si>
  <si>
    <t>PO-0062</t>
  </si>
  <si>
    <t>PO-0063</t>
  </si>
  <si>
    <t>PO-0064</t>
  </si>
  <si>
    <t>PO-0065</t>
  </si>
  <si>
    <t>PO-0066</t>
  </si>
  <si>
    <t>PO-0067</t>
  </si>
  <si>
    <t>PO-0068</t>
  </si>
  <si>
    <t>PO-0069</t>
  </si>
  <si>
    <t>PO-0070</t>
  </si>
  <si>
    <t>PO-0071</t>
  </si>
  <si>
    <t>PO-0072</t>
  </si>
  <si>
    <t>PO-0073</t>
  </si>
  <si>
    <t>PO-0074</t>
  </si>
  <si>
    <t>PO-0075</t>
  </si>
  <si>
    <t>PO-0076</t>
  </si>
  <si>
    <t>PO-0077</t>
  </si>
  <si>
    <t>PO-0078</t>
  </si>
  <si>
    <t>PO-0079</t>
  </si>
  <si>
    <t>PO-0080</t>
  </si>
  <si>
    <t>PO-0081</t>
  </si>
  <si>
    <t>PO-0082</t>
  </si>
  <si>
    <t>PO-0083</t>
  </si>
  <si>
    <t>PO-0084</t>
  </si>
  <si>
    <t>PO-0085</t>
  </si>
  <si>
    <t>PO-0086</t>
  </si>
  <si>
    <t>PO-0087</t>
  </si>
  <si>
    <t>PO-0088</t>
  </si>
  <si>
    <t>PO-0089</t>
  </si>
  <si>
    <t>PO-0090</t>
  </si>
  <si>
    <t>PO-0091</t>
  </si>
  <si>
    <t>PO-0092</t>
  </si>
  <si>
    <t>PO-0093</t>
  </si>
  <si>
    <t>PO-0094</t>
  </si>
  <si>
    <t>PO-0095</t>
  </si>
  <si>
    <t>PO-0096</t>
  </si>
  <si>
    <t>PO-0097</t>
  </si>
  <si>
    <t>PO-0098</t>
  </si>
  <si>
    <t>PO-0099</t>
  </si>
  <si>
    <t>PO-0100</t>
  </si>
  <si>
    <t>PO-0101</t>
  </si>
  <si>
    <t>PO-0102</t>
  </si>
  <si>
    <t>PO-0103</t>
  </si>
  <si>
    <t>PO-0104</t>
  </si>
  <si>
    <t>PO-0105</t>
  </si>
  <si>
    <t>PO-0106</t>
  </si>
  <si>
    <t>PO-0107</t>
  </si>
  <si>
    <t>PO-0108</t>
  </si>
  <si>
    <t>PO-0109</t>
  </si>
  <si>
    <t>PO-0110</t>
  </si>
  <si>
    <t>PO-0111</t>
  </si>
  <si>
    <t>PO-0112</t>
  </si>
  <si>
    <t>PO-0113</t>
  </si>
  <si>
    <t>PO-0114</t>
  </si>
  <si>
    <t>PO-0115</t>
  </si>
  <si>
    <t>PO-0116</t>
  </si>
  <si>
    <t>PO-0117</t>
  </si>
  <si>
    <t>PO-0118</t>
  </si>
  <si>
    <t>PO-0119</t>
  </si>
  <si>
    <t>PO-0120</t>
  </si>
  <si>
    <t>PO-0121</t>
  </si>
  <si>
    <t>PO-0122</t>
  </si>
  <si>
    <t>PO-0123</t>
  </si>
  <si>
    <t>PO-0124</t>
  </si>
  <si>
    <t>PO-0125</t>
  </si>
  <si>
    <t>PO-0126</t>
  </si>
  <si>
    <t>PO-0127</t>
  </si>
  <si>
    <t>PO-0128</t>
  </si>
  <si>
    <t>PO-0129</t>
  </si>
  <si>
    <t>PO-0130</t>
  </si>
  <si>
    <t>PO-0131</t>
  </si>
  <si>
    <t>PO-0132</t>
  </si>
  <si>
    <t>PO-0133</t>
  </si>
  <si>
    <t>PO-0134</t>
  </si>
  <si>
    <t>PO-0135</t>
  </si>
  <si>
    <t>PO-0136</t>
  </si>
  <si>
    <t>PO-0137</t>
  </si>
  <si>
    <t>PO-0138</t>
  </si>
  <si>
    <t>PO-0139</t>
  </si>
  <si>
    <t>PO-0140</t>
  </si>
  <si>
    <t>PO-0141</t>
  </si>
  <si>
    <t>PO-0142</t>
  </si>
  <si>
    <t>PO-0143</t>
  </si>
  <si>
    <t>PO-0144</t>
  </si>
  <si>
    <t>PO-0145</t>
  </si>
  <si>
    <t>PO-0146</t>
  </si>
  <si>
    <t>PO-0147</t>
  </si>
  <si>
    <t>PO-0148</t>
  </si>
  <si>
    <t>PO-0149</t>
  </si>
  <si>
    <t>PO-0150</t>
  </si>
  <si>
    <t>PO-0151</t>
  </si>
  <si>
    <t>PO-0152</t>
  </si>
  <si>
    <t>PO-0153</t>
  </si>
  <si>
    <t>PO-0154</t>
  </si>
  <si>
    <t>PO-0155</t>
  </si>
  <si>
    <t>PO-0156</t>
  </si>
  <si>
    <t>PO-0157</t>
  </si>
  <si>
    <t>PO-0158</t>
  </si>
  <si>
    <t>PO-0159</t>
  </si>
  <si>
    <t>PO-0160</t>
  </si>
  <si>
    <t>PO-0161</t>
  </si>
  <si>
    <t>PO-0162</t>
  </si>
  <si>
    <t>PO-0163</t>
  </si>
  <si>
    <t>PO-0164</t>
  </si>
  <si>
    <t>PO-0165</t>
  </si>
  <si>
    <t>PO-0166</t>
  </si>
  <si>
    <t>PO-0167</t>
  </si>
  <si>
    <t>PO-0168</t>
  </si>
  <si>
    <t>PO-0169</t>
  </si>
  <si>
    <t>PO-0170</t>
  </si>
  <si>
    <t>PO-0171</t>
  </si>
  <si>
    <t>PO-0172</t>
  </si>
  <si>
    <t>PO-0173</t>
  </si>
  <si>
    <t>PO-0174</t>
  </si>
  <si>
    <t>PO-0175</t>
  </si>
  <si>
    <t>PO-0176</t>
  </si>
  <si>
    <t>PO-0177</t>
  </si>
  <si>
    <t>PO-0178</t>
  </si>
  <si>
    <t>PO-0179</t>
  </si>
  <si>
    <t>PO-0180</t>
  </si>
  <si>
    <t>PO-0181</t>
  </si>
  <si>
    <t>PO-0182</t>
  </si>
  <si>
    <t>PO-0183</t>
  </si>
  <si>
    <t>PO-0184</t>
  </si>
  <si>
    <t>PO-0185</t>
  </si>
  <si>
    <t>PO-0186</t>
  </si>
  <si>
    <t>PO-0187</t>
  </si>
  <si>
    <t>PO-0188</t>
  </si>
  <si>
    <t>PO-0189</t>
  </si>
  <si>
    <t>PO-0190</t>
  </si>
  <si>
    <t>PO-0191</t>
  </si>
  <si>
    <t>PO-0192</t>
  </si>
  <si>
    <t>PO-0193</t>
  </si>
  <si>
    <t>PO-0194</t>
  </si>
  <si>
    <t>PO-0195</t>
  </si>
  <si>
    <t>PO-0196</t>
  </si>
  <si>
    <t>PO-0197</t>
  </si>
  <si>
    <t>PO-0198</t>
  </si>
  <si>
    <t>PO-0199</t>
  </si>
  <si>
    <t>PO-0200</t>
  </si>
  <si>
    <t>PO-0201</t>
  </si>
  <si>
    <t>PO-0202</t>
  </si>
  <si>
    <t>PO-0203</t>
  </si>
  <si>
    <t>PO-0204</t>
  </si>
  <si>
    <t>PO-0205</t>
  </si>
  <si>
    <t>PO-0206</t>
  </si>
  <si>
    <t>PO-0207</t>
  </si>
  <si>
    <t>PO-0208</t>
  </si>
  <si>
    <t>PO-0209</t>
  </si>
  <si>
    <t>PO-0210</t>
  </si>
  <si>
    <t>PO-0211</t>
  </si>
  <si>
    <t>PO-0212</t>
  </si>
  <si>
    <t>PO-0213</t>
  </si>
  <si>
    <t>PO-0214</t>
  </si>
  <si>
    <t>PO-0215</t>
  </si>
  <si>
    <t>PO-0216</t>
  </si>
  <si>
    <t>PO-0217</t>
  </si>
  <si>
    <t>PO-0218</t>
  </si>
  <si>
    <t>PO-0219</t>
  </si>
  <si>
    <t>PO-0220</t>
  </si>
  <si>
    <t>PO-0221</t>
  </si>
  <si>
    <t>PO-0222</t>
  </si>
  <si>
    <t>PO-0223</t>
  </si>
  <si>
    <t>PO-0224</t>
  </si>
  <si>
    <t>PO-0225</t>
  </si>
  <si>
    <t>PO-0226</t>
  </si>
  <si>
    <t>PO-0227</t>
  </si>
  <si>
    <t>PO-0228</t>
  </si>
  <si>
    <t>PO-0229</t>
  </si>
  <si>
    <t>PO-0230</t>
  </si>
  <si>
    <t>PO-0231</t>
  </si>
  <si>
    <t>PO-0232</t>
  </si>
  <si>
    <t>PO-0233</t>
  </si>
  <si>
    <t>SLA</t>
  </si>
  <si>
    <t>Notes</t>
  </si>
  <si>
    <t>Status</t>
  </si>
  <si>
    <t>Delivery date</t>
  </si>
  <si>
    <t>PO  date</t>
  </si>
  <si>
    <t>Grand Total</t>
  </si>
  <si>
    <t>Column Labels</t>
  </si>
  <si>
    <t>Total amount</t>
  </si>
  <si>
    <t>Sum of Total amount</t>
  </si>
  <si>
    <t>Standard SLA from PR to PO (in Days)</t>
  </si>
  <si>
    <t>Actual SLA from PR to PO (in Days)</t>
  </si>
  <si>
    <t>Actual SLA from PR to PO (in Days) - Copy</t>
  </si>
  <si>
    <t>Row Labels</t>
  </si>
  <si>
    <t>(blank)</t>
  </si>
  <si>
    <t>Count of PR #</t>
  </si>
  <si>
    <t>Count of Status</t>
  </si>
  <si>
    <t>Total PRs</t>
  </si>
  <si>
    <t>To 100k - 7 Days
From 100k to 200k - 10Days
From 200k ^ - 15 Days</t>
  </si>
  <si>
    <t>4 Days</t>
  </si>
  <si>
    <t>Lead time from PO to receive</t>
  </si>
  <si>
    <t>30 Days</t>
  </si>
  <si>
    <t>Avarage SLA - PO to Delivary</t>
  </si>
  <si>
    <t>Avarage SLA - PR to PO</t>
  </si>
  <si>
    <t>SLA on time?- old</t>
  </si>
  <si>
    <t>PO SLA %</t>
  </si>
  <si>
    <t>Name 3</t>
  </si>
  <si>
    <t>PR closing rate %</t>
  </si>
  <si>
    <t>Total Purchase Amount</t>
  </si>
  <si>
    <t>Procurement KPIs Improvement of Oct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</si>
</sst>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d/mm/yyyy;@"/>
    <numFmt numFmtId="166" formatCode="_(* #,##0_);_(* \(#,##0\);_(* &quot;-&quot;??_);_(@_)"/>
    <numFmt numFmtId="167" formatCode="0,,&quot;M&quot;"/>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70C0"/>
      <name val="Aptos Narrow"/>
      <family val="2"/>
      <scheme val="minor"/>
    </font>
    <font>
      <b/>
      <sz val="11"/>
      <color rgb="FFFF0000"/>
      <name val="Aptos Narrow"/>
      <family val="2"/>
      <scheme val="minor"/>
    </font>
    <font>
      <b/>
      <sz val="11"/>
      <name val="Aptos Narrow"/>
      <family val="2"/>
      <scheme val="minor"/>
    </font>
    <font>
      <sz val="11"/>
      <name val="Aptos Narrow"/>
      <family val="2"/>
      <scheme val="minor"/>
    </font>
    <font>
      <sz val="11"/>
      <color rgb="FF000000"/>
      <name val="Calibri"/>
      <family val="2"/>
    </font>
    <font>
      <sz val="9"/>
      <color rgb="FF000080"/>
      <name val="Tahoma"/>
      <family val="2"/>
    </font>
    <font>
      <b/>
      <sz val="11"/>
      <color rgb="FF000000"/>
      <name val="Arial"/>
      <family val="2"/>
    </font>
    <font>
      <sz val="11"/>
      <color rgb="FF000000"/>
      <name val="Arial"/>
      <family val="2"/>
    </font>
    <font>
      <sz val="10"/>
      <color theme="1"/>
      <name val="Calibri"/>
      <family val="2"/>
      <charset val="1"/>
    </font>
    <font>
      <sz val="11"/>
      <color rgb="FF000000"/>
      <name val="Aptos Narrow"/>
      <family val="2"/>
      <scheme val="minor"/>
    </font>
    <font>
      <sz val="8"/>
      <name val="Aptos Narrow"/>
      <family val="2"/>
      <scheme val="minor"/>
    </font>
    <font>
      <sz val="11"/>
      <color rgb="FF1F497D"/>
      <name val="Calibri"/>
      <family val="2"/>
      <charset val="1"/>
    </font>
    <font>
      <b/>
      <sz val="11"/>
      <color theme="0"/>
      <name val="Aptos Narrow"/>
      <family val="2"/>
      <scheme val="minor"/>
    </font>
    <font>
      <b/>
      <sz val="18"/>
      <color theme="1"/>
      <name val="Aptos Narrow"/>
      <family val="2"/>
      <scheme val="minor"/>
    </font>
    <font>
      <b/>
      <sz val="10"/>
      <color theme="1"/>
      <name val="Aptos Narrow"/>
      <family val="2"/>
      <scheme val="minor"/>
    </font>
    <font>
      <b/>
      <sz val="20"/>
      <color theme="0"/>
      <name val="Aptos Narrow"/>
      <family val="2"/>
      <scheme val="minor"/>
    </font>
  </fonts>
  <fills count="1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rgb="FF000000"/>
      </patternFill>
    </fill>
    <fill>
      <patternFill patternType="solid">
        <fgColor rgb="FF92D050"/>
        <bgColor rgb="FF92D050"/>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rgb="FFFFFF00"/>
        <bgColor rgb="FF000000"/>
      </patternFill>
    </fill>
    <fill>
      <patternFill patternType="solid">
        <fgColor theme="9" tint="0.59999389629810485"/>
        <bgColor indexed="64"/>
      </patternFill>
    </fill>
    <fill>
      <patternFill patternType="solid">
        <fgColor rgb="FFFFFF00"/>
        <bgColor indexed="64"/>
      </patternFill>
    </fill>
    <fill>
      <patternFill patternType="solid">
        <fgColor theme="8"/>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14">
    <xf numFmtId="0" fontId="0" fillId="0" borderId="0" xfId="0"/>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165" fontId="4" fillId="0" borderId="1" xfId="0" applyNumberFormat="1" applyFont="1" applyBorder="1" applyAlignment="1">
      <alignment horizontal="center" vertical="center"/>
    </xf>
    <xf numFmtId="0" fontId="5"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65"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9" fontId="2" fillId="3" borderId="1" xfId="2" applyFont="1" applyFill="1" applyBorder="1" applyAlignment="1">
      <alignment horizontal="center" vertical="center"/>
    </xf>
    <xf numFmtId="0" fontId="2" fillId="3" borderId="0" xfId="0" applyFont="1" applyFill="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43" fontId="0" fillId="0" borderId="0" xfId="0" applyNumberFormat="1" applyAlignment="1">
      <alignment horizontal="center" vertical="center"/>
    </xf>
    <xf numFmtId="0" fontId="0" fillId="3" borderId="0" xfId="0" applyFill="1" applyAlignment="1">
      <alignment horizontal="center" vertical="center"/>
    </xf>
    <xf numFmtId="9" fontId="0" fillId="3" borderId="0" xfId="2" applyFont="1" applyFill="1" applyAlignment="1">
      <alignment horizontal="center" vertical="center"/>
    </xf>
    <xf numFmtId="0" fontId="0" fillId="0" borderId="1" xfId="0" applyBorder="1" applyAlignment="1">
      <alignment horizontal="center" vertical="center"/>
    </xf>
    <xf numFmtId="43" fontId="0" fillId="0" borderId="0" xfId="0" applyNumberFormat="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right" vertical="center"/>
    </xf>
    <xf numFmtId="0" fontId="6" fillId="3" borderId="0" xfId="0" applyFont="1" applyFill="1" applyAlignment="1">
      <alignment horizontal="center" vertical="center"/>
    </xf>
    <xf numFmtId="0" fontId="7" fillId="0" borderId="0" xfId="0" applyFont="1" applyAlignment="1">
      <alignment horizontal="center" vertical="center"/>
    </xf>
    <xf numFmtId="0" fontId="7" fillId="0" borderId="2" xfId="0" applyFont="1" applyBorder="1" applyAlignment="1">
      <alignment horizontal="center" vertical="center" readingOrder="1"/>
    </xf>
    <xf numFmtId="0" fontId="8" fillId="0" borderId="2" xfId="0" applyFont="1" applyBorder="1" applyAlignment="1">
      <alignment horizontal="center" vertical="center" wrapText="1" readingOrder="2"/>
    </xf>
    <xf numFmtId="0" fontId="7" fillId="3" borderId="2" xfId="0" applyFont="1" applyFill="1" applyBorder="1" applyAlignment="1">
      <alignment horizontal="center" vertical="center" readingOrder="1"/>
    </xf>
    <xf numFmtId="165" fontId="7" fillId="0" borderId="2" xfId="0" applyNumberFormat="1" applyFont="1" applyBorder="1" applyAlignment="1">
      <alignment horizontal="center" vertical="center" readingOrder="1"/>
    </xf>
    <xf numFmtId="0" fontId="7" fillId="4" borderId="2" xfId="0" applyFont="1" applyFill="1" applyBorder="1" applyAlignment="1">
      <alignment horizontal="center" vertical="center" readingOrder="1"/>
    </xf>
    <xf numFmtId="0" fontId="7" fillId="4" borderId="2" xfId="0" applyFont="1" applyFill="1" applyBorder="1" applyAlignment="1">
      <alignment horizontal="center" vertical="center" readingOrder="2"/>
    </xf>
    <xf numFmtId="0" fontId="8" fillId="0" borderId="2" xfId="0" applyFont="1" applyBorder="1" applyAlignment="1">
      <alignment horizontal="center" vertical="center" readingOrder="2"/>
    </xf>
    <xf numFmtId="0" fontId="7" fillId="0" borderId="2" xfId="0" applyFont="1" applyBorder="1" applyAlignment="1">
      <alignment horizontal="center" vertical="center" readingOrder="2"/>
    </xf>
    <xf numFmtId="0" fontId="7" fillId="0" borderId="3" xfId="0" applyFont="1" applyBorder="1" applyAlignment="1">
      <alignment horizontal="center" vertical="center" readingOrder="1"/>
    </xf>
    <xf numFmtId="165" fontId="0" fillId="0" borderId="2" xfId="0" applyNumberFormat="1" applyBorder="1" applyAlignment="1">
      <alignment horizontal="center" vertical="center"/>
    </xf>
    <xf numFmtId="0" fontId="7" fillId="0" borderId="4" xfId="0" applyFont="1" applyBorder="1" applyAlignment="1">
      <alignment horizontal="center" vertical="center" readingOrder="1"/>
    </xf>
    <xf numFmtId="166" fontId="0" fillId="0" borderId="0" xfId="0" applyNumberFormat="1" applyAlignment="1">
      <alignment horizontal="center" vertical="center"/>
    </xf>
    <xf numFmtId="4" fontId="9" fillId="0" borderId="0" xfId="0" applyNumberFormat="1" applyFont="1" applyAlignment="1">
      <alignment readingOrder="1"/>
    </xf>
    <xf numFmtId="0" fontId="9" fillId="3" borderId="0" xfId="0" applyFont="1" applyFill="1" applyAlignment="1">
      <alignment horizontal="center" vertical="center" readingOrder="1"/>
    </xf>
    <xf numFmtId="3" fontId="10" fillId="0" borderId="0" xfId="0" applyNumberFormat="1" applyFont="1"/>
    <xf numFmtId="0" fontId="10" fillId="3" borderId="0" xfId="0" applyFont="1" applyFill="1" applyAlignment="1">
      <alignment horizontal="center" vertical="center"/>
    </xf>
    <xf numFmtId="165" fontId="11" fillId="0" borderId="0" xfId="0" applyNumberFormat="1" applyFont="1"/>
    <xf numFmtId="164" fontId="0" fillId="0" borderId="0" xfId="1" applyFont="1" applyFill="1" applyAlignment="1">
      <alignment horizontal="center" vertical="center"/>
    </xf>
    <xf numFmtId="0" fontId="0" fillId="3" borderId="0" xfId="1" applyNumberFormat="1" applyFont="1" applyFill="1" applyAlignment="1">
      <alignment horizontal="center" vertical="center"/>
    </xf>
    <xf numFmtId="43" fontId="12" fillId="0" borderId="0" xfId="0" applyNumberFormat="1" applyFont="1" applyAlignment="1">
      <alignment horizontal="center" vertical="center"/>
    </xf>
    <xf numFmtId="14" fontId="7" fillId="0" borderId="2" xfId="0" applyNumberFormat="1" applyFont="1" applyBorder="1" applyAlignment="1">
      <alignment horizontal="center" vertical="center" readingOrder="1"/>
    </xf>
    <xf numFmtId="0" fontId="7" fillId="5" borderId="0" xfId="0" applyFont="1" applyFill="1" applyAlignment="1">
      <alignment horizontal="center" vertical="center" readingOrder="1"/>
    </xf>
    <xf numFmtId="165" fontId="0" fillId="3" borderId="0" xfId="0" applyNumberFormat="1" applyFill="1" applyAlignment="1">
      <alignment horizontal="center" vertical="center"/>
    </xf>
    <xf numFmtId="4" fontId="0" fillId="0" borderId="0" xfId="0" applyNumberFormat="1" applyAlignment="1">
      <alignment horizontal="center" vertical="center"/>
    </xf>
    <xf numFmtId="14" fontId="7" fillId="0" borderId="0" xfId="0" applyNumberFormat="1" applyFont="1" applyAlignment="1">
      <alignment readingOrder="1"/>
    </xf>
    <xf numFmtId="0" fontId="7" fillId="0" borderId="0" xfId="0" applyFont="1" applyAlignment="1">
      <alignment readingOrder="1"/>
    </xf>
    <xf numFmtId="0" fontId="7" fillId="0" borderId="0" xfId="0" applyFont="1" applyAlignment="1">
      <alignment horizontal="center" vertical="center" readingOrder="1"/>
    </xf>
    <xf numFmtId="3" fontId="0" fillId="0" borderId="0" xfId="0" applyNumberFormat="1" applyAlignment="1">
      <alignment horizontal="center" vertical="center"/>
    </xf>
    <xf numFmtId="49" fontId="0" fillId="6" borderId="5" xfId="0" applyNumberFormat="1" applyFill="1" applyBorder="1" applyAlignment="1">
      <alignment horizontal="center" vertical="center"/>
    </xf>
    <xf numFmtId="49" fontId="0" fillId="0" borderId="5" xfId="0" applyNumberFormat="1" applyBorder="1" applyAlignment="1">
      <alignment horizontal="center" vertical="center"/>
    </xf>
    <xf numFmtId="1" fontId="5" fillId="3" borderId="1" xfId="0" applyNumberFormat="1" applyFont="1" applyFill="1" applyBorder="1" applyAlignment="1">
      <alignment horizontal="center" vertical="center"/>
    </xf>
    <xf numFmtId="1" fontId="0" fillId="3" borderId="0" xfId="0" applyNumberFormat="1" applyFill="1" applyAlignment="1">
      <alignment horizontal="center" vertical="center"/>
    </xf>
    <xf numFmtId="1" fontId="0" fillId="3" borderId="0" xfId="2" applyNumberFormat="1" applyFont="1" applyFill="1" applyAlignment="1">
      <alignment horizontal="center" vertical="center"/>
    </xf>
    <xf numFmtId="1" fontId="0" fillId="3" borderId="0" xfId="0" applyNumberFormat="1" applyFill="1" applyAlignment="1">
      <alignment horizontal="center" vertical="center" wrapText="1"/>
    </xf>
    <xf numFmtId="1" fontId="6" fillId="3" borderId="0" xfId="0" applyNumberFormat="1" applyFont="1" applyFill="1" applyAlignment="1">
      <alignment horizontal="center" vertical="center"/>
    </xf>
    <xf numFmtId="1" fontId="9" fillId="3" borderId="0" xfId="0" applyNumberFormat="1" applyFont="1" applyFill="1" applyAlignment="1">
      <alignment horizontal="center" vertical="center" readingOrder="1"/>
    </xf>
    <xf numFmtId="1" fontId="10" fillId="3" borderId="0" xfId="0" applyNumberFormat="1" applyFont="1" applyFill="1" applyAlignment="1">
      <alignment horizontal="center" vertical="center"/>
    </xf>
    <xf numFmtId="1" fontId="0" fillId="3" borderId="0" xfId="1" applyNumberFormat="1" applyFont="1" applyFill="1" applyAlignment="1">
      <alignment horizontal="center" vertical="center"/>
    </xf>
    <xf numFmtId="1" fontId="0" fillId="0" borderId="0" xfId="0" applyNumberFormat="1" applyAlignment="1">
      <alignment horizontal="center" vertical="center"/>
    </xf>
    <xf numFmtId="0" fontId="0" fillId="3" borderId="0" xfId="2" applyNumberFormat="1" applyFont="1" applyFill="1" applyAlignment="1">
      <alignment horizontal="center" vertical="center"/>
    </xf>
    <xf numFmtId="165" fontId="14" fillId="0" borderId="0" xfId="0" applyNumberFormat="1" applyFont="1"/>
    <xf numFmtId="0" fontId="0" fillId="7" borderId="0" xfId="0" applyFill="1" applyAlignment="1">
      <alignment horizontal="center" vertical="center"/>
    </xf>
    <xf numFmtId="0" fontId="7" fillId="5" borderId="0" xfId="0" applyFont="1" applyFill="1" applyAlignment="1">
      <alignment readingOrder="1"/>
    </xf>
    <xf numFmtId="0" fontId="7" fillId="8" borderId="0" xfId="0" applyFont="1" applyFill="1" applyAlignment="1">
      <alignment readingOrder="1"/>
    </xf>
    <xf numFmtId="2" fontId="0" fillId="0" borderId="0" xfId="0" applyNumberFormat="1" applyAlignment="1">
      <alignment horizontal="center" vertical="center"/>
    </xf>
    <xf numFmtId="0" fontId="5" fillId="9" borderId="1" xfId="0" applyFont="1" applyFill="1" applyBorder="1" applyAlignment="1">
      <alignment horizontal="center" vertical="center"/>
    </xf>
    <xf numFmtId="165" fontId="5" fillId="9" borderId="1" xfId="0" applyNumberFormat="1" applyFont="1" applyFill="1" applyBorder="1" applyAlignment="1">
      <alignment horizontal="center" vertical="center"/>
    </xf>
    <xf numFmtId="9" fontId="5" fillId="9" borderId="1" xfId="2" applyFont="1" applyFill="1" applyBorder="1" applyAlignment="1">
      <alignment horizontal="center" vertical="center"/>
    </xf>
    <xf numFmtId="0" fontId="6" fillId="9" borderId="0" xfId="0" applyFont="1" applyFill="1" applyAlignment="1">
      <alignment horizontal="center" vertical="center"/>
    </xf>
    <xf numFmtId="0" fontId="0" fillId="0" borderId="0" xfId="0" pivotButton="1"/>
    <xf numFmtId="1" fontId="5" fillId="3" borderId="7" xfId="0" applyNumberFormat="1" applyFont="1" applyFill="1" applyBorder="1" applyAlignment="1">
      <alignment horizontal="center" vertical="center"/>
    </xf>
    <xf numFmtId="1" fontId="7" fillId="3" borderId="4" xfId="0" applyNumberFormat="1" applyFont="1" applyFill="1" applyBorder="1" applyAlignment="1">
      <alignment horizontal="center" vertical="center" readingOrder="1"/>
    </xf>
    <xf numFmtId="2" fontId="5" fillId="9" borderId="0" xfId="0" applyNumberFormat="1" applyFont="1" applyFill="1" applyAlignment="1">
      <alignment horizontal="center" vertical="center"/>
    </xf>
    <xf numFmtId="2" fontId="0" fillId="0" borderId="0" xfId="0" applyNumberFormat="1" applyAlignment="1">
      <alignment horizontal="center" vertical="center" wrapText="1"/>
    </xf>
    <xf numFmtId="2" fontId="7" fillId="0" borderId="0" xfId="0" applyNumberFormat="1" applyFont="1" applyAlignment="1">
      <alignment horizontal="center" vertical="center" readingOrder="1"/>
    </xf>
    <xf numFmtId="2" fontId="9" fillId="0" borderId="0" xfId="0" applyNumberFormat="1" applyFont="1" applyAlignment="1">
      <alignment readingOrder="1"/>
    </xf>
    <xf numFmtId="2" fontId="10" fillId="0" borderId="0" xfId="0" applyNumberFormat="1" applyFont="1"/>
    <xf numFmtId="2" fontId="0" fillId="0" borderId="0" xfId="1" applyNumberFormat="1" applyFont="1" applyFill="1" applyBorder="1" applyAlignment="1">
      <alignment horizontal="center" vertical="center"/>
    </xf>
    <xf numFmtId="2" fontId="12" fillId="0" borderId="0" xfId="0" applyNumberFormat="1" applyFont="1" applyAlignment="1">
      <alignment horizontal="center" vertical="center"/>
    </xf>
    <xf numFmtId="165" fontId="5" fillId="9" borderId="6" xfId="0" applyNumberFormat="1" applyFont="1" applyFill="1" applyBorder="1" applyAlignment="1">
      <alignment horizontal="center" vertical="center"/>
    </xf>
    <xf numFmtId="0" fontId="5" fillId="9" borderId="8" xfId="0" applyFont="1" applyFill="1" applyBorder="1" applyAlignment="1">
      <alignment horizontal="center" vertical="center"/>
    </xf>
    <xf numFmtId="0" fontId="5" fillId="9" borderId="0" xfId="0" applyFont="1" applyFill="1" applyAlignment="1">
      <alignment horizontal="center" vertical="center"/>
    </xf>
    <xf numFmtId="49" fontId="0" fillId="6" borderId="0" xfId="0" applyNumberFormat="1" applyFill="1" applyAlignment="1">
      <alignment horizontal="center" vertical="center"/>
    </xf>
    <xf numFmtId="49" fontId="0" fillId="0" borderId="0" xfId="0" applyNumberFormat="1" applyAlignment="1">
      <alignment horizontal="center" vertical="center"/>
    </xf>
    <xf numFmtId="1" fontId="5" fillId="10" borderId="1" xfId="0" applyNumberFormat="1" applyFont="1" applyFill="1" applyBorder="1" applyAlignment="1">
      <alignment horizontal="center" vertical="center"/>
    </xf>
    <xf numFmtId="1" fontId="0" fillId="10" borderId="0" xfId="0" applyNumberFormat="1" applyFill="1" applyAlignment="1">
      <alignment horizontal="center" vertical="center"/>
    </xf>
    <xf numFmtId="1" fontId="0" fillId="10" borderId="0" xfId="2" applyNumberFormat="1" applyFont="1" applyFill="1" applyAlignment="1">
      <alignment horizontal="center" vertical="center"/>
    </xf>
    <xf numFmtId="0" fontId="0" fillId="10" borderId="0" xfId="0" applyFill="1" applyAlignment="1">
      <alignment horizontal="center"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0" xfId="0" applyAlignment="1">
      <alignment horizontal="left"/>
    </xf>
    <xf numFmtId="0" fontId="0" fillId="0" borderId="0" xfId="0" applyNumberFormat="1"/>
    <xf numFmtId="2" fontId="5" fillId="3" borderId="1" xfId="0" applyNumberFormat="1" applyFont="1" applyFill="1" applyBorder="1" applyAlignment="1">
      <alignment horizontal="center" vertical="center"/>
    </xf>
    <xf numFmtId="2" fontId="0" fillId="3" borderId="0" xfId="0" applyNumberFormat="1" applyFill="1" applyAlignment="1">
      <alignment horizontal="center" vertical="center"/>
    </xf>
    <xf numFmtId="0" fontId="0" fillId="14" borderId="0" xfId="0" applyFill="1"/>
    <xf numFmtId="0" fontId="18" fillId="13" borderId="0" xfId="0" applyFont="1" applyFill="1" applyAlignment="1">
      <alignment horizontal="center" vertical="center"/>
    </xf>
    <xf numFmtId="0" fontId="15" fillId="11" borderId="0" xfId="0" applyFont="1" applyFill="1" applyAlignment="1">
      <alignment horizontal="center"/>
    </xf>
    <xf numFmtId="9" fontId="0" fillId="12" borderId="0" xfId="0" applyNumberFormat="1" applyFill="1" applyAlignment="1">
      <alignment horizontal="center"/>
    </xf>
    <xf numFmtId="0" fontId="0" fillId="12" borderId="0" xfId="0" applyFill="1" applyAlignment="1">
      <alignment horizontal="center"/>
    </xf>
    <xf numFmtId="0" fontId="17" fillId="12" borderId="0" xfId="0" applyFont="1" applyFill="1" applyAlignment="1">
      <alignment horizontal="left" vertical="center" wrapText="1"/>
    </xf>
    <xf numFmtId="0" fontId="16" fillId="3" borderId="0" xfId="0" applyFont="1" applyFill="1" applyAlignment="1">
      <alignment horizontal="center" vertical="center"/>
    </xf>
    <xf numFmtId="9" fontId="16" fillId="3" borderId="0" xfId="2" applyFont="1" applyFill="1" applyAlignment="1">
      <alignment horizontal="center" vertical="center"/>
    </xf>
    <xf numFmtId="167" fontId="16" fillId="3" borderId="0" xfId="0" applyNumberFormat="1" applyFont="1" applyFill="1" applyAlignment="1">
      <alignment horizontal="center" vertical="center"/>
    </xf>
  </cellXfs>
  <cellStyles count="3">
    <cellStyle name="Comma" xfId="1" builtinId="3"/>
    <cellStyle name="Normal" xfId="0" builtinId="0"/>
    <cellStyle name="Percent" xfId="2" builtinId="5"/>
  </cellStyles>
  <dxfs count="29">
    <dxf>
      <fill>
        <patternFill>
          <fgColor rgb="FF92D050"/>
          <bgColor rgb="FF92D05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rgb="FF92D050"/>
          <bgColor rgb="FF92D05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fgColor rgb="FF92D050"/>
          <bgColor rgb="FF92D05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[Tracking File project Q42025 copy.xlsx]Total Amount- Departmen!PivotTable1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a:t>
            </a:r>
            <a:r>
              <a:rPr lang="en-US" baseline="0"/>
              <a:t> for each Department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9.8M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1.5M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Amount- Departmen'!$B$3:$B$4</c:f>
              <c:strCache>
                <c:ptCount val="1"/>
                <c:pt idx="0">
                  <c:v>Equipment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8-CA61-4F6D-9821-37A5A708880A}"/>
              </c:ext>
            </c:extLst>
          </c:dPt>
          <c:dLbls>
            <c:dLbl>
              <c:idx val="0"/>
              <c:tx>
                <c:rich>
                  <a:bodyPr/>
                  <a:lstStyle/>
                  <a:p>
                    <a:r>
                      <a:rPr lang="en-US"/>
                      <a:t>2M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A61-4F6D-9821-37A5A70888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Departmen'!$B$5</c:f>
              <c:numCache>
                <c:formatCode>General</c:formatCode>
                <c:ptCount val="1"/>
                <c:pt idx="0">
                  <c:v>2004426.7899999998</c:v>
                </c:pt>
              </c:numCache>
            </c:numRef>
          </c:val>
          <c:extLst>
            <c:ext xmlns:c16="http://schemas.microsoft.com/office/drawing/2014/chart" uri="{C3380CC4-5D6E-409C-BE32-E72D297353CC}">
              <c16:uniqueId val="{00000005-CA61-4F6D-9821-37A5A708880A}"/>
            </c:ext>
          </c:extLst>
        </c:ser>
        <c:ser>
          <c:idx val="1"/>
          <c:order val="1"/>
          <c:tx>
            <c:strRef>
              <c:f>'Total Amount- Departmen'!$C$3:$C$4</c:f>
              <c:strCache>
                <c:ptCount val="1"/>
                <c:pt idx="0">
                  <c:v>General</c:v>
                </c:pt>
              </c:strCache>
            </c:strRef>
          </c:tx>
          <c:spPr>
            <a:solidFill>
              <a:schemeClr val="accent2"/>
            </a:solidFill>
            <a:ln>
              <a:noFill/>
            </a:ln>
            <a:effectLst/>
          </c:spPr>
          <c:invertIfNegative val="0"/>
          <c:dPt>
            <c:idx val="0"/>
            <c:invertIfNegative val="0"/>
            <c:bubble3D val="0"/>
            <c:spPr>
              <a:solidFill>
                <a:schemeClr val="accent2"/>
              </a:solidFill>
              <a:ln>
                <a:noFill/>
              </a:ln>
              <a:effectLst/>
            </c:spPr>
          </c:dPt>
          <c:dLbls>
            <c:dLbl>
              <c:idx val="0"/>
              <c:tx>
                <c:rich>
                  <a:bodyPr/>
                  <a:lstStyle/>
                  <a:p>
                    <a:r>
                      <a:rPr lang="en-US"/>
                      <a:t>9.8M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Departmen'!$C$5</c:f>
              <c:numCache>
                <c:formatCode>General</c:formatCode>
                <c:ptCount val="1"/>
                <c:pt idx="0">
                  <c:v>9808746.3600000013</c:v>
                </c:pt>
              </c:numCache>
            </c:numRef>
          </c:val>
          <c:extLst>
            <c:ext xmlns:c16="http://schemas.microsoft.com/office/drawing/2014/chart" uri="{C3380CC4-5D6E-409C-BE32-E72D297353CC}">
              <c16:uniqueId val="{0000001B-632F-4878-AC09-E5B818E2E2EA}"/>
            </c:ext>
          </c:extLst>
        </c:ser>
        <c:ser>
          <c:idx val="2"/>
          <c:order val="2"/>
          <c:tx>
            <c:strRef>
              <c:f>'Total Amount- Departmen'!$D$3:$D$4</c:f>
              <c:strCache>
                <c:ptCount val="1"/>
                <c:pt idx="0">
                  <c:v>IT</c:v>
                </c:pt>
              </c:strCache>
            </c:strRef>
          </c:tx>
          <c:spPr>
            <a:solidFill>
              <a:schemeClr val="accent3"/>
            </a:solidFill>
            <a:ln>
              <a:noFill/>
            </a:ln>
            <a:effectLst/>
          </c:spPr>
          <c:invertIfNegative val="0"/>
          <c:dPt>
            <c:idx val="0"/>
            <c:invertIfNegative val="0"/>
            <c:bubble3D val="0"/>
            <c:spPr>
              <a:solidFill>
                <a:schemeClr val="accent3"/>
              </a:solidFill>
              <a:ln>
                <a:noFill/>
              </a:ln>
              <a:effectLst/>
            </c:spPr>
          </c:dPt>
          <c:dLbls>
            <c:dLbl>
              <c:idx val="0"/>
              <c:tx>
                <c:rich>
                  <a:bodyPr/>
                  <a:lstStyle/>
                  <a:p>
                    <a:r>
                      <a:rPr lang="en-US"/>
                      <a:t>1.5M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Departmen'!$D$5</c:f>
              <c:numCache>
                <c:formatCode>General</c:formatCode>
                <c:ptCount val="1"/>
                <c:pt idx="0">
                  <c:v>1528041.02</c:v>
                </c:pt>
              </c:numCache>
            </c:numRef>
          </c:val>
          <c:extLst>
            <c:ext xmlns:c16="http://schemas.microsoft.com/office/drawing/2014/chart" uri="{C3380CC4-5D6E-409C-BE32-E72D297353CC}">
              <c16:uniqueId val="{0000001C-632F-4878-AC09-E5B818E2E2EA}"/>
            </c:ext>
          </c:extLst>
        </c:ser>
        <c:ser>
          <c:idx val="3"/>
          <c:order val="3"/>
          <c:tx>
            <c:strRef>
              <c:f>'Total Amount- Departmen'!$E$3:$E$4</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Departmen'!$E$5</c:f>
              <c:numCache>
                <c:formatCode>General</c:formatCode>
                <c:ptCount val="1"/>
              </c:numCache>
            </c:numRef>
          </c:val>
          <c:extLst>
            <c:ext xmlns:c16="http://schemas.microsoft.com/office/drawing/2014/chart" uri="{C3380CC4-5D6E-409C-BE32-E72D297353CC}">
              <c16:uniqueId val="{0000001D-632F-4878-AC09-E5B818E2E2EA}"/>
            </c:ext>
          </c:extLst>
        </c:ser>
        <c:dLbls>
          <c:dLblPos val="outEnd"/>
          <c:showLegendKey val="0"/>
          <c:showVal val="1"/>
          <c:showCatName val="0"/>
          <c:showSerName val="0"/>
          <c:showPercent val="0"/>
          <c:showBubbleSize val="0"/>
        </c:dLbls>
        <c:gapWidth val="219"/>
        <c:overlap val="-27"/>
        <c:axId val="2064054944"/>
        <c:axId val="2064074144"/>
      </c:barChart>
      <c:catAx>
        <c:axId val="2064054944"/>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74144"/>
        <c:crosses val="autoZero"/>
        <c:auto val="1"/>
        <c:lblAlgn val="ctr"/>
        <c:lblOffset val="100"/>
        <c:noMultiLvlLbl val="0"/>
      </c:catAx>
      <c:valAx>
        <c:axId val="2064074144"/>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 in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5494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[Tracking File project Q42025 copy.xlsx]Total PR per Department!PivotTable4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Total PR per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 per Department'!$B$3:$B$4</c:f>
              <c:strCache>
                <c:ptCount val="1"/>
                <c:pt idx="0">
                  <c:v>Equipment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Department'!$B$5</c:f>
              <c:numCache>
                <c:formatCode>General</c:formatCode>
                <c:ptCount val="1"/>
                <c:pt idx="0">
                  <c:v>40</c:v>
                </c:pt>
              </c:numCache>
            </c:numRef>
          </c:val>
          <c:extLst>
            <c:ext xmlns:c16="http://schemas.microsoft.com/office/drawing/2014/chart" uri="{C3380CC4-5D6E-409C-BE32-E72D297353CC}">
              <c16:uniqueId val="{00000000-4AC4-4F09-A6D2-91C2322FF13F}"/>
            </c:ext>
          </c:extLst>
        </c:ser>
        <c:ser>
          <c:idx val="1"/>
          <c:order val="1"/>
          <c:tx>
            <c:strRef>
              <c:f>'Total PR per Department'!$C$3:$C$4</c:f>
              <c:strCache>
                <c:ptCount val="1"/>
                <c:pt idx="0">
                  <c:v>General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Department'!$C$5</c:f>
              <c:numCache>
                <c:formatCode>General</c:formatCode>
                <c:ptCount val="1"/>
                <c:pt idx="0">
                  <c:v>177</c:v>
                </c:pt>
              </c:numCache>
            </c:numRef>
          </c:val>
          <c:extLst>
            <c:ext xmlns:c16="http://schemas.microsoft.com/office/drawing/2014/chart" uri="{C3380CC4-5D6E-409C-BE32-E72D297353CC}">
              <c16:uniqueId val="{0000001E-4AC4-4F09-A6D2-91C2322FF13F}"/>
            </c:ext>
          </c:extLst>
        </c:ser>
        <c:ser>
          <c:idx val="2"/>
          <c:order val="2"/>
          <c:tx>
            <c:strRef>
              <c:f>'Total PR per Department'!$D$3:$D$4</c:f>
              <c:strCache>
                <c:ptCount val="1"/>
                <c:pt idx="0">
                  <c:v>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Department'!$D$5</c:f>
              <c:numCache>
                <c:formatCode>General</c:formatCode>
                <c:ptCount val="1"/>
                <c:pt idx="0">
                  <c:v>16</c:v>
                </c:pt>
              </c:numCache>
            </c:numRef>
          </c:val>
          <c:extLst>
            <c:ext xmlns:c16="http://schemas.microsoft.com/office/drawing/2014/chart" uri="{C3380CC4-5D6E-409C-BE32-E72D297353CC}">
              <c16:uniqueId val="{0000001F-4AC4-4F09-A6D2-91C2322FF13F}"/>
            </c:ext>
          </c:extLst>
        </c:ser>
        <c:ser>
          <c:idx val="3"/>
          <c:order val="3"/>
          <c:tx>
            <c:strRef>
              <c:f>'Total PR per Department'!$E$3:$E$4</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Department'!$E$5</c:f>
              <c:numCache>
                <c:formatCode>General</c:formatCode>
                <c:ptCount val="1"/>
              </c:numCache>
            </c:numRef>
          </c:val>
          <c:extLst>
            <c:ext xmlns:c16="http://schemas.microsoft.com/office/drawing/2014/chart" uri="{C3380CC4-5D6E-409C-BE32-E72D297353CC}">
              <c16:uniqueId val="{00000020-4AC4-4F09-A6D2-91C2322FF13F}"/>
            </c:ext>
          </c:extLst>
        </c:ser>
        <c:dLbls>
          <c:dLblPos val="outEnd"/>
          <c:showLegendKey val="0"/>
          <c:showVal val="1"/>
          <c:showCatName val="0"/>
          <c:showSerName val="0"/>
          <c:showPercent val="0"/>
          <c:showBubbleSize val="0"/>
        </c:dLbls>
        <c:gapWidth val="219"/>
        <c:overlap val="-27"/>
        <c:axId val="1204459599"/>
        <c:axId val="1204465839"/>
      </c:barChart>
      <c:catAx>
        <c:axId val="1204459599"/>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65839"/>
        <c:crosses val="autoZero"/>
        <c:auto val="1"/>
        <c:lblAlgn val="ctr"/>
        <c:lblOffset val="100"/>
        <c:noMultiLvlLbl val="0"/>
      </c:catAx>
      <c:valAx>
        <c:axId val="1204465839"/>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5959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[Tracking File project Q42025 copy.xlsx]PR Status!PivotTable3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s>
    <c:plotArea>
      <c:layout/>
      <c:pieChart>
        <c:varyColors val="1"/>
        <c:ser>
          <c:idx val="0"/>
          <c:order val="0"/>
          <c:tx>
            <c:strRef>
              <c:f>'PR Status'!$B$3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 Status'!$A$4:$A$6</c:f>
              <c:strCache>
                <c:ptCount val="2"/>
                <c:pt idx="0">
                  <c:v>Closed </c:v>
                </c:pt>
                <c:pt idx="1">
                  <c:v>Under Process</c:v>
                </c:pt>
              </c:strCache>
            </c:strRef>
          </c:cat>
          <c:val>
            <c:numRef>
              <c:f>'PR Status'!$B$4:$B$6</c:f>
              <c:numCache>
                <c:formatCode>General</c:formatCode>
                <c:ptCount val="2"/>
                <c:pt idx="0">
                  <c:v>94</c:v>
                </c:pt>
                <c:pt idx="1">
                  <c:v>139</c:v>
                </c:pt>
              </c:numCache>
            </c:numRef>
          </c:val>
          <c:extLst>
            <c:ext xmlns:c16="http://schemas.microsoft.com/office/drawing/2014/chart" uri="{C3380CC4-5D6E-409C-BE32-E72D297353CC}">
              <c16:uniqueId val="{000002C1-DCA8-4D44-8EE6-B19C72630772}"/>
            </c:ext>
          </c:extLst>
        </c:ser>
        <c:dLbls>
          <c:dLblPos val="outEnd"/>
          <c:showLegendKey val="0"/>
          <c:showVal val="0"/>
          <c:showCatName val="0"/>
          <c:showSerName val="0"/>
          <c:showPercent val="0"/>
          <c:showBubbleSize val="0"/>
          <c:showLeaderLines val="0"/>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[Tracking File project Q42025 copy.xlsx] Count of PRs per Category!PivotTable7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solidFill>
                  <a:sysClr val="windowText" lastClr="000000">
                    <a:lumMod val="65000"/>
                    <a:lumOff val="35000"/>
                  </a:sysClr>
                </a:solidFill>
                <a:latin typeface="Aptos Narrow" panose="02110004020202020204"/>
              </a:rPr>
              <a:t> </a:t>
            </a:r>
            <a:r>
              <a:rPr lang="en-US" sz="1400" b="0" i="0" u="none" strike="noStrike" kern="1200" spc="0" baseline="0">
                <a:solidFill>
                  <a:sysClr val="windowText" lastClr="000000">
                    <a:lumMod val="65000"/>
                    <a:lumOff val="35000"/>
                  </a:sysClr>
                </a:solidFill>
                <a:latin typeface="+mn-lt"/>
              </a:rPr>
              <a:t> Count of PRs per Item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 Count of PRs per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CF9-48C2-BA40-C68DC037581C}"/>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8CF9-48C2-BA40-C68DC037581C}"/>
              </c:ext>
            </c:extLst>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8CF9-48C2-BA40-C68DC037581C}"/>
              </c:ext>
            </c:extLst>
          </c:dPt>
          <c:dPt>
            <c:idx val="8"/>
            <c:bubble3D val="0"/>
            <c:spPr>
              <a:solidFill>
                <a:schemeClr val="accent3">
                  <a:lumMod val="60000"/>
                </a:schemeClr>
              </a:solidFill>
              <a:ln w="19050">
                <a:solidFill>
                  <a:schemeClr val="lt1"/>
                </a:solidFill>
              </a:ln>
              <a:effectLst/>
            </c:spPr>
          </c:dPt>
          <c:dLbls>
            <c:dLbl>
              <c:idx val="0"/>
              <c:delete val="1"/>
              <c:extLst>
                <c:ext xmlns:c15="http://schemas.microsoft.com/office/drawing/2012/chart" uri="{CE6537A1-D6FC-4f65-9D91-7224C49458BB}"/>
                <c:ext xmlns:c16="http://schemas.microsoft.com/office/drawing/2014/chart" uri="{C3380CC4-5D6E-409C-BE32-E72D297353CC}">
                  <c16:uniqueId val="{00000002-8CF9-48C2-BA40-C68DC037581C}"/>
                </c:ext>
              </c:extLst>
            </c:dLbl>
            <c:dLbl>
              <c:idx val="3"/>
              <c:delete val="1"/>
              <c:extLst>
                <c:ext xmlns:c15="http://schemas.microsoft.com/office/drawing/2012/chart" uri="{CE6537A1-D6FC-4f65-9D91-7224C49458BB}"/>
                <c:ext xmlns:c16="http://schemas.microsoft.com/office/drawing/2014/chart" uri="{C3380CC4-5D6E-409C-BE32-E72D297353CC}">
                  <c16:uniqueId val="{00000004-8CF9-48C2-BA40-C68DC037581C}"/>
                </c:ext>
              </c:extLst>
            </c:dLbl>
            <c:dLbl>
              <c:idx val="7"/>
              <c:delete val="1"/>
              <c:extLst>
                <c:ext xmlns:c15="http://schemas.microsoft.com/office/drawing/2012/chart" uri="{CE6537A1-D6FC-4f65-9D91-7224C49458BB}"/>
                <c:ext xmlns:c16="http://schemas.microsoft.com/office/drawing/2014/chart" uri="{C3380CC4-5D6E-409C-BE32-E72D297353CC}">
                  <c16:uniqueId val="{00000003-8CF9-48C2-BA40-C68DC037581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Count of PRs per Category'!$A$4:$A$13</c:f>
              <c:strCache>
                <c:ptCount val="9"/>
                <c:pt idx="0">
                  <c:v>Autodesk AutoCAD  License</c:v>
                </c:pt>
                <c:pt idx="1">
                  <c:v>Camera</c:v>
                </c:pt>
                <c:pt idx="2">
                  <c:v>Cars</c:v>
                </c:pt>
                <c:pt idx="3">
                  <c:v>Laptop</c:v>
                </c:pt>
                <c:pt idx="4">
                  <c:v>Marketing</c:v>
                </c:pt>
                <c:pt idx="5">
                  <c:v>Phone</c:v>
                </c:pt>
                <c:pt idx="6">
                  <c:v>Plastic</c:v>
                </c:pt>
                <c:pt idx="7">
                  <c:v>Saas App</c:v>
                </c:pt>
                <c:pt idx="8">
                  <c:v>(blank)</c:v>
                </c:pt>
              </c:strCache>
            </c:strRef>
          </c:cat>
          <c:val>
            <c:numRef>
              <c:f>' Count of PRs per Category'!$B$4:$B$13</c:f>
              <c:numCache>
                <c:formatCode>General</c:formatCode>
                <c:ptCount val="9"/>
                <c:pt idx="0">
                  <c:v>7</c:v>
                </c:pt>
                <c:pt idx="1">
                  <c:v>21</c:v>
                </c:pt>
                <c:pt idx="2">
                  <c:v>19</c:v>
                </c:pt>
                <c:pt idx="3">
                  <c:v>5</c:v>
                </c:pt>
                <c:pt idx="4">
                  <c:v>75</c:v>
                </c:pt>
                <c:pt idx="5">
                  <c:v>47</c:v>
                </c:pt>
                <c:pt idx="6">
                  <c:v>55</c:v>
                </c:pt>
                <c:pt idx="7">
                  <c:v>4</c:v>
                </c:pt>
              </c:numCache>
            </c:numRef>
          </c:val>
          <c:extLst>
            <c:ext xmlns:c16="http://schemas.microsoft.com/office/drawing/2014/chart" uri="{C3380CC4-5D6E-409C-BE32-E72D297353CC}">
              <c16:uniqueId val="{00000000-8CF9-48C2-BA40-C68DC037581C}"/>
            </c:ext>
          </c:extLst>
        </c:ser>
        <c:dLbls>
          <c:showLegendKey val="0"/>
          <c:showVal val="0"/>
          <c:showCatName val="0"/>
          <c:showSerName val="0"/>
          <c:showPercent val="0"/>
          <c:showBubbleSize val="0"/>
          <c:showLeaderLines val="0"/>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[Tracking File project Q42025 copy.xlsx]PRs by Name!PivotTable8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PRs</a:t>
            </a:r>
            <a:r>
              <a:rPr lang="en-US" baseline="0"/>
              <a:t> by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'PRs by Name'!$B$3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'PRs by Name'!$A$4:$A$12</c:f>
              <c:strCache>
                <c:ptCount val="8"/>
                <c:pt idx="0">
                  <c:v>(blank)</c:v>
                </c:pt>
                <c:pt idx="1">
                  <c:v>Name 3</c:v>
                </c:pt>
                <c:pt idx="2">
                  <c:v>Name 2</c:v>
                </c:pt>
                <c:pt idx="3">
                  <c:v>Name 6</c:v>
                </c:pt>
                <c:pt idx="4">
                  <c:v>Name 7</c:v>
                </c:pt>
                <c:pt idx="5">
                  <c:v>Name 1</c:v>
                </c:pt>
                <c:pt idx="6">
                  <c:v>Name 4</c:v>
                </c:pt>
                <c:pt idx="7">
                  <c:v>Name 5</c:v>
                </c:pt>
              </c:strCache>
            </c:strRef>
          </c:cat>
          <c:val>
            <c:numRef>
              <c:f>'PRs by Name'!$B$4:$B$12</c:f>
              <c:numCache>
                <c:formatCode>General</c:formatCode>
                <c:ptCount val="8"/>
                <c:pt idx="1">
                  <c:v>7</c:v>
                </c:pt>
                <c:pt idx="2">
                  <c:v>9</c:v>
                </c:pt>
                <c:pt idx="3">
                  <c:v>18</c:v>
                </c:pt>
                <c:pt idx="4">
                  <c:v>22</c:v>
                </c:pt>
                <c:pt idx="5">
                  <c:v>31</c:v>
                </c:pt>
                <c:pt idx="6">
                  <c:v>69</c:v>
                </c:pt>
                <c:pt idx="7">
                  <c:v>77</c:v>
                </c:pt>
              </c:numCache>
            </c:numRef>
          </c:val>
          <c:extLst>
            <c:ext xmlns:c16="http://schemas.microsoft.com/office/drawing/2014/chart" uri="{C3380CC4-5D6E-409C-BE32-E72D297353CC}">
              <c16:uniqueId val="{00000000-5F8D-4BB3-B594-B9D778E09C25}"/>
            </c:ext>
          </c:extLst>
        </c:ser>
        <c:dLbls>
          <c:dLblPos val="outEnd"/>
          <c:showLegendKey val="0"/>
          <c:showVal val="1"/>
          <c:showCatName val="0"/>
          <c:showSerName val="0"/>
          <c:showPercent val="0"/>
          <c:showBubbleSize val="0"/>
        </c:dLbls>
        <c:gapWidth val="182"/>
        <c:axId val="1010089087"/>
        <c:axId val="1010083327"/>
      </c:barChart>
      <c:catAx>
        <c:axId val="10100890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83327"/>
        <c:crosses val="autoZero"/>
        <c:auto val="1"/>
        <c:lblAlgn val="ctr"/>
        <c:lblOffset val="100"/>
        <c:noMultiLvlLbl val="0"/>
      </c:catAx>
      <c:valAx>
        <c:axId val="1010083327"/>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8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[Tracking File project Q42025 copy.xlsx]Total Amount- Departmen!PivotTable1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Purchase Amount</a:t>
            </a:r>
            <a:r>
              <a:rPr lang="en-US" baseline="0"/>
              <a:t> per each Department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9.8M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1.5M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9.8M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1.5M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hade val="58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hade val="86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9.8M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tint val="86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1.5M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Amount- Departmen'!$B$3:$B$4</c:f>
              <c:strCache>
                <c:ptCount val="1"/>
                <c:pt idx="0">
                  <c:v>Equipment</c:v>
                </c:pt>
              </c:strCache>
            </c:strRef>
          </c:tx>
          <c:spPr>
            <a:solidFill>
              <a:schemeClr val="accent2">
                <a:shade val="58000"/>
              </a:schemeClr>
            </a:solidFill>
            <a:ln>
              <a:noFill/>
            </a:ln>
            <a:effectLst/>
          </c:spPr>
          <c:invertIfNegative val="0"/>
          <c:dPt>
            <c:idx val="0"/>
            <c:invertIfNegative val="0"/>
            <c:bubble3D val="0"/>
            <c:spPr>
              <a:solidFill>
                <a:schemeClr val="accent2">
                  <a:shade val="58000"/>
                </a:schemeClr>
              </a:solidFill>
              <a:ln>
                <a:noFill/>
              </a:ln>
              <a:effectLst/>
            </c:spPr>
            <c:extLst>
              <c:ext xmlns:c16="http://schemas.microsoft.com/office/drawing/2014/chart" uri="{C3380CC4-5D6E-409C-BE32-E72D297353CC}">
                <c16:uniqueId val="{00000000-5794-4078-8C8F-28EA47EA0FF9}"/>
              </c:ext>
            </c:extLst>
          </c:dPt>
          <c:dLbls>
            <c:dLbl>
              <c:idx val="0"/>
              <c:tx>
                <c:rich>
                  <a:bodyPr/>
                  <a:lstStyle/>
                  <a:p>
                    <a:r>
                      <a:rPr lang="en-US"/>
                      <a:t>2M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794-4078-8C8F-28EA47EA0F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Departmen'!$B$5</c:f>
              <c:numCache>
                <c:formatCode>General</c:formatCode>
                <c:ptCount val="1"/>
                <c:pt idx="0">
                  <c:v>2004426.7899999998</c:v>
                </c:pt>
              </c:numCache>
            </c:numRef>
          </c:val>
          <c:extLst>
            <c:ext xmlns:c16="http://schemas.microsoft.com/office/drawing/2014/chart" uri="{C3380CC4-5D6E-409C-BE32-E72D297353CC}">
              <c16:uniqueId val="{00000001-5794-4078-8C8F-28EA47EA0FF9}"/>
            </c:ext>
          </c:extLst>
        </c:ser>
        <c:ser>
          <c:idx val="1"/>
          <c:order val="1"/>
          <c:tx>
            <c:strRef>
              <c:f>'Total Amount- Departmen'!$C$3:$C$4</c:f>
              <c:strCache>
                <c:ptCount val="1"/>
                <c:pt idx="0">
                  <c:v>General</c:v>
                </c:pt>
              </c:strCache>
            </c:strRef>
          </c:tx>
          <c:spPr>
            <a:solidFill>
              <a:schemeClr val="accent2">
                <a:shade val="86000"/>
              </a:schemeClr>
            </a:solidFill>
            <a:ln>
              <a:noFill/>
            </a:ln>
            <a:effectLst/>
          </c:spPr>
          <c:invertIfNegative val="0"/>
          <c:dPt>
            <c:idx val="0"/>
            <c:invertIfNegative val="0"/>
            <c:bubble3D val="0"/>
            <c:spPr>
              <a:solidFill>
                <a:schemeClr val="accent2">
                  <a:shade val="86000"/>
                </a:schemeClr>
              </a:solidFill>
              <a:ln>
                <a:noFill/>
              </a:ln>
              <a:effectLst/>
            </c:spPr>
          </c:dPt>
          <c:dLbls>
            <c:dLbl>
              <c:idx val="0"/>
              <c:tx>
                <c:rich>
                  <a:bodyPr/>
                  <a:lstStyle/>
                  <a:p>
                    <a:r>
                      <a:rPr lang="en-US"/>
                      <a:t>9.8M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Departmen'!$C$5</c:f>
              <c:numCache>
                <c:formatCode>General</c:formatCode>
                <c:ptCount val="1"/>
                <c:pt idx="0">
                  <c:v>9808746.3600000013</c:v>
                </c:pt>
              </c:numCache>
            </c:numRef>
          </c:val>
          <c:extLst>
            <c:ext xmlns:c16="http://schemas.microsoft.com/office/drawing/2014/chart" uri="{C3380CC4-5D6E-409C-BE32-E72D297353CC}">
              <c16:uniqueId val="{0000001B-ACAE-4980-8075-5F2BA062FC1D}"/>
            </c:ext>
          </c:extLst>
        </c:ser>
        <c:ser>
          <c:idx val="2"/>
          <c:order val="2"/>
          <c:tx>
            <c:strRef>
              <c:f>'Total Amount- Departmen'!$D$3:$D$4</c:f>
              <c:strCache>
                <c:ptCount val="1"/>
                <c:pt idx="0">
                  <c:v>IT</c:v>
                </c:pt>
              </c:strCache>
            </c:strRef>
          </c:tx>
          <c:spPr>
            <a:solidFill>
              <a:schemeClr val="accent2">
                <a:tint val="86000"/>
              </a:schemeClr>
            </a:solidFill>
            <a:ln>
              <a:noFill/>
            </a:ln>
            <a:effectLst/>
          </c:spPr>
          <c:invertIfNegative val="0"/>
          <c:dPt>
            <c:idx val="0"/>
            <c:invertIfNegative val="0"/>
            <c:bubble3D val="0"/>
            <c:spPr>
              <a:solidFill>
                <a:schemeClr val="accent2">
                  <a:tint val="86000"/>
                </a:schemeClr>
              </a:solidFill>
              <a:ln>
                <a:noFill/>
              </a:ln>
              <a:effectLst/>
            </c:spPr>
          </c:dPt>
          <c:dLbls>
            <c:dLbl>
              <c:idx val="0"/>
              <c:tx>
                <c:rich>
                  <a:bodyPr/>
                  <a:lstStyle/>
                  <a:p>
                    <a:r>
                      <a:rPr lang="en-US"/>
                      <a:t>1.5M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Departmen'!$D$5</c:f>
              <c:numCache>
                <c:formatCode>General</c:formatCode>
                <c:ptCount val="1"/>
                <c:pt idx="0">
                  <c:v>1528041.02</c:v>
                </c:pt>
              </c:numCache>
            </c:numRef>
          </c:val>
          <c:extLst>
            <c:ext xmlns:c16="http://schemas.microsoft.com/office/drawing/2014/chart" uri="{C3380CC4-5D6E-409C-BE32-E72D297353CC}">
              <c16:uniqueId val="{0000001C-ACAE-4980-8075-5F2BA062FC1D}"/>
            </c:ext>
          </c:extLst>
        </c:ser>
        <c:ser>
          <c:idx val="3"/>
          <c:order val="3"/>
          <c:tx>
            <c:strRef>
              <c:f>'Total Amount- Departmen'!$E$3:$E$4</c:f>
              <c:strCache>
                <c:ptCount val="1"/>
                <c:pt idx="0">
                  <c:v>(blank)</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Amount- Departmen'!$A$5</c:f>
              <c:strCache>
                <c:ptCount val="1"/>
                <c:pt idx="0">
                  <c:v>Total</c:v>
                </c:pt>
              </c:strCache>
            </c:strRef>
          </c:cat>
          <c:val>
            <c:numRef>
              <c:f>'Total Amount- Departmen'!$E$5</c:f>
              <c:numCache>
                <c:formatCode>General</c:formatCode>
                <c:ptCount val="1"/>
              </c:numCache>
            </c:numRef>
          </c:val>
          <c:extLst>
            <c:ext xmlns:c16="http://schemas.microsoft.com/office/drawing/2014/chart" uri="{C3380CC4-5D6E-409C-BE32-E72D297353CC}">
              <c16:uniqueId val="{0000001D-ACAE-4980-8075-5F2BA062FC1D}"/>
            </c:ext>
          </c:extLst>
        </c:ser>
        <c:dLbls>
          <c:dLblPos val="outEnd"/>
          <c:showLegendKey val="0"/>
          <c:showVal val="1"/>
          <c:showCatName val="0"/>
          <c:showSerName val="0"/>
          <c:showPercent val="0"/>
          <c:showBubbleSize val="0"/>
        </c:dLbls>
        <c:gapWidth val="219"/>
        <c:overlap val="-27"/>
        <c:axId val="2064054944"/>
        <c:axId val="2064074144"/>
      </c:barChart>
      <c:catAx>
        <c:axId val="2064054944"/>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74144"/>
        <c:crosses val="autoZero"/>
        <c:auto val="1"/>
        <c:lblAlgn val="ctr"/>
        <c:lblOffset val="100"/>
        <c:noMultiLvlLbl val="0"/>
      </c:catAx>
      <c:valAx>
        <c:axId val="2064074144"/>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 in (million)</a:t>
                </a:r>
              </a:p>
            </c:rich>
          </c:tx>
          <c:layout>
            <c:manualLayout>
              <c:xMode val="edge"/>
              <c:yMode val="edge"/>
              <c:x val="0.93162416341792897"/>
              <c:y val="0.249223495136621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5494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[Tracking File project Q42025 copy.xlsx]PR Status!PivotTable3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2"/>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6"/>
        <c:spPr>
          <a:solidFill>
            <a:schemeClr val="accent2"/>
          </a:solidFill>
          <a:ln w="19050">
            <a:solidFill>
              <a:schemeClr val="lt1"/>
            </a:solidFill>
          </a:ln>
          <a:effectLst/>
        </c:spPr>
      </c:pivotFmt>
      <c:pivotFmt>
        <c:idx val="737"/>
        <c:spPr>
          <a:solidFill>
            <a:schemeClr val="accent2"/>
          </a:solidFill>
          <a:ln w="19050">
            <a:solidFill>
              <a:schemeClr val="lt1"/>
            </a:solidFill>
          </a:ln>
          <a:effectLst/>
        </c:spPr>
      </c:pivotFmt>
      <c:pivotFmt>
        <c:idx val="738"/>
        <c:spPr>
          <a:solidFill>
            <a:schemeClr val="accent2"/>
          </a:solidFill>
          <a:ln w="19050">
            <a:solidFill>
              <a:schemeClr val="lt1"/>
            </a:solidFill>
          </a:ln>
          <a:effectLst/>
        </c:spPr>
      </c:pivotFmt>
      <c:pivotFmt>
        <c:idx val="73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0"/>
        <c:spPr>
          <a:solidFill>
            <a:schemeClr val="accent2">
              <a:shade val="76000"/>
            </a:schemeClr>
          </a:solidFill>
          <a:ln w="19050">
            <a:solidFill>
              <a:schemeClr val="lt1"/>
            </a:solidFill>
          </a:ln>
          <a:effectLst/>
        </c:spPr>
      </c:pivotFmt>
      <c:pivotFmt>
        <c:idx val="741"/>
        <c:spPr>
          <a:solidFill>
            <a:schemeClr val="accent2">
              <a:tint val="77000"/>
            </a:schemeClr>
          </a:solidFill>
          <a:ln w="19050">
            <a:solidFill>
              <a:schemeClr val="lt1"/>
            </a:solidFill>
          </a:ln>
          <a:effectLst/>
        </c:spPr>
        <c:dLbl>
          <c:idx val="0"/>
          <c:layout>
            <c:manualLayout>
              <c:x val="-6.8551842330762669E-2"/>
              <c:y val="-8.05031446540880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2"/>
        <c:spPr>
          <a:solidFill>
            <a:schemeClr val="accent2"/>
          </a:solidFill>
          <a:ln w="19050">
            <a:solidFill>
              <a:schemeClr val="lt1"/>
            </a:solidFill>
          </a:ln>
          <a:effectLst/>
        </c:spPr>
      </c:pivotFmt>
    </c:pivotFmts>
    <c:plotArea>
      <c:layout/>
      <c:pieChart>
        <c:varyColors val="1"/>
        <c:ser>
          <c:idx val="0"/>
          <c:order val="0"/>
          <c:tx>
            <c:strRef>
              <c:f>'PR Status'!$B$3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A017-4357-9D80-667D705173DD}"/>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A017-4357-9D80-667D705173DD}"/>
              </c:ext>
            </c:extLst>
          </c:dPt>
          <c:dPt>
            <c:idx val="2"/>
            <c:bubble3D val="0"/>
            <c:spPr>
              <a:solidFill>
                <a:schemeClr val="accent2">
                  <a:tint val="30000"/>
                </a:schemeClr>
              </a:solidFill>
              <a:ln w="19050">
                <a:solidFill>
                  <a:schemeClr val="lt1"/>
                </a:solidFill>
              </a:ln>
              <a:effectLst/>
            </c:spPr>
            <c:extLst>
              <c:ext xmlns:c16="http://schemas.microsoft.com/office/drawing/2014/chart" uri="{C3380CC4-5D6E-409C-BE32-E72D297353CC}">
                <c16:uniqueId val="{00000005-A017-4357-9D80-667D705173DD}"/>
              </c:ext>
            </c:extLst>
          </c:dPt>
          <c:dLbls>
            <c:dLbl>
              <c:idx val="1"/>
              <c:layout>
                <c:manualLayout>
                  <c:x val="-6.8551842330762669E-2"/>
                  <c:y val="-8.05031446540880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17-4357-9D80-667D705173D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 Status'!$A$4:$A$6</c:f>
              <c:strCache>
                <c:ptCount val="2"/>
                <c:pt idx="0">
                  <c:v>Closed </c:v>
                </c:pt>
                <c:pt idx="1">
                  <c:v>Under Process</c:v>
                </c:pt>
              </c:strCache>
            </c:strRef>
          </c:cat>
          <c:val>
            <c:numRef>
              <c:f>'PR Status'!$B$4:$B$6</c:f>
              <c:numCache>
                <c:formatCode>General</c:formatCode>
                <c:ptCount val="2"/>
                <c:pt idx="0">
                  <c:v>94</c:v>
                </c:pt>
                <c:pt idx="1">
                  <c:v>139</c:v>
                </c:pt>
              </c:numCache>
            </c:numRef>
          </c:val>
          <c:extLst>
            <c:ext xmlns:c16="http://schemas.microsoft.com/office/drawing/2014/chart" uri="{C3380CC4-5D6E-409C-BE32-E72D297353CC}">
              <c16:uniqueId val="{00000006-A017-4357-9D80-667D705173DD}"/>
            </c:ext>
          </c:extLst>
        </c:ser>
        <c:dLbls>
          <c:dLblPos val="outEnd"/>
          <c:showLegendKey val="0"/>
          <c:showVal val="0"/>
          <c:showCatName val="0"/>
          <c:showSerName val="0"/>
          <c:showPercent val="0"/>
          <c:showBubbleSize val="0"/>
          <c:showLeaderLines val="0"/>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[Tracking File project Q42025 copy.xlsx]Total PR per Department!PivotTable4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Total PR per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 per Department'!$B$3:$B$4</c:f>
              <c:strCache>
                <c:ptCount val="1"/>
                <c:pt idx="0">
                  <c:v>Equipment</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Department'!$B$5</c:f>
              <c:numCache>
                <c:formatCode>General</c:formatCode>
                <c:ptCount val="1"/>
                <c:pt idx="0">
                  <c:v>40</c:v>
                </c:pt>
              </c:numCache>
            </c:numRef>
          </c:val>
          <c:extLst>
            <c:ext xmlns:c16="http://schemas.microsoft.com/office/drawing/2014/chart" uri="{C3380CC4-5D6E-409C-BE32-E72D297353CC}">
              <c16:uniqueId val="{00000000-A5D2-4E43-B78E-EA726596047A}"/>
            </c:ext>
          </c:extLst>
        </c:ser>
        <c:ser>
          <c:idx val="1"/>
          <c:order val="1"/>
          <c:tx>
            <c:strRef>
              <c:f>'Total PR per Department'!$C$3:$C$4</c:f>
              <c:strCache>
                <c:ptCount val="1"/>
                <c:pt idx="0">
                  <c:v>General</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Department'!$C$5</c:f>
              <c:numCache>
                <c:formatCode>General</c:formatCode>
                <c:ptCount val="1"/>
                <c:pt idx="0">
                  <c:v>177</c:v>
                </c:pt>
              </c:numCache>
            </c:numRef>
          </c:val>
          <c:extLst>
            <c:ext xmlns:c16="http://schemas.microsoft.com/office/drawing/2014/chart" uri="{C3380CC4-5D6E-409C-BE32-E72D297353CC}">
              <c16:uniqueId val="{0000001D-A5D2-4E43-B78E-EA726596047A}"/>
            </c:ext>
          </c:extLst>
        </c:ser>
        <c:ser>
          <c:idx val="2"/>
          <c:order val="2"/>
          <c:tx>
            <c:strRef>
              <c:f>'Total PR per Department'!$D$3:$D$4</c:f>
              <c:strCache>
                <c:ptCount val="1"/>
                <c:pt idx="0">
                  <c:v>IT</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Department'!$D$5</c:f>
              <c:numCache>
                <c:formatCode>General</c:formatCode>
                <c:ptCount val="1"/>
                <c:pt idx="0">
                  <c:v>16</c:v>
                </c:pt>
              </c:numCache>
            </c:numRef>
          </c:val>
          <c:extLst>
            <c:ext xmlns:c16="http://schemas.microsoft.com/office/drawing/2014/chart" uri="{C3380CC4-5D6E-409C-BE32-E72D297353CC}">
              <c16:uniqueId val="{0000001E-A5D2-4E43-B78E-EA726596047A}"/>
            </c:ext>
          </c:extLst>
        </c:ser>
        <c:ser>
          <c:idx val="3"/>
          <c:order val="3"/>
          <c:tx>
            <c:strRef>
              <c:f>'Total PR per Department'!$E$3:$E$4</c:f>
              <c:strCache>
                <c:ptCount val="1"/>
                <c:pt idx="0">
                  <c:v>(blank)</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 per Department'!$A$5</c:f>
              <c:strCache>
                <c:ptCount val="1"/>
                <c:pt idx="0">
                  <c:v>Total</c:v>
                </c:pt>
              </c:strCache>
            </c:strRef>
          </c:cat>
          <c:val>
            <c:numRef>
              <c:f>'Total PR per Department'!$E$5</c:f>
              <c:numCache>
                <c:formatCode>General</c:formatCode>
                <c:ptCount val="1"/>
              </c:numCache>
            </c:numRef>
          </c:val>
          <c:extLst>
            <c:ext xmlns:c16="http://schemas.microsoft.com/office/drawing/2014/chart" uri="{C3380CC4-5D6E-409C-BE32-E72D297353CC}">
              <c16:uniqueId val="{0000001F-A5D2-4E43-B78E-EA726596047A}"/>
            </c:ext>
          </c:extLst>
        </c:ser>
        <c:dLbls>
          <c:dLblPos val="outEnd"/>
          <c:showLegendKey val="0"/>
          <c:showVal val="1"/>
          <c:showCatName val="0"/>
          <c:showSerName val="0"/>
          <c:showPercent val="0"/>
          <c:showBubbleSize val="0"/>
        </c:dLbls>
        <c:gapWidth val="219"/>
        <c:overlap val="-27"/>
        <c:axId val="1204459599"/>
        <c:axId val="1204465839"/>
      </c:barChart>
      <c:catAx>
        <c:axId val="1204459599"/>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65839"/>
        <c:crosses val="autoZero"/>
        <c:auto val="1"/>
        <c:lblAlgn val="ctr"/>
        <c:lblOffset val="100"/>
        <c:noMultiLvlLbl val="0"/>
      </c:catAx>
      <c:valAx>
        <c:axId val="1204465839"/>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5959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[Tracking File project Q42025 copy.xlsx] Count of PRs per Category!PivotTable7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solidFill>
                  <a:sysClr val="windowText" lastClr="000000">
                    <a:lumMod val="65000"/>
                    <a:lumOff val="35000"/>
                  </a:sysClr>
                </a:solidFill>
                <a:latin typeface="Aptos Narrow" panose="02110004020202020204"/>
              </a:rPr>
              <a:t> Count of PRs per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hade val="44000"/>
            </a:schemeClr>
          </a:solidFill>
          <a:ln w="19050">
            <a:solidFill>
              <a:schemeClr val="lt1"/>
            </a:solidFill>
          </a:ln>
          <a:effectLst/>
        </c:spPr>
      </c:pivotFmt>
      <c:pivotFmt>
        <c:idx val="16"/>
        <c:spPr>
          <a:solidFill>
            <a:schemeClr val="accent2">
              <a:shade val="58000"/>
            </a:schemeClr>
          </a:solidFill>
          <a:ln w="19050">
            <a:solidFill>
              <a:schemeClr val="lt1"/>
            </a:solidFill>
          </a:ln>
          <a:effectLst/>
        </c:spPr>
      </c:pivotFmt>
      <c:pivotFmt>
        <c:idx val="17"/>
        <c:spPr>
          <a:solidFill>
            <a:schemeClr val="accent2">
              <a:shade val="72000"/>
            </a:schemeClr>
          </a:solidFill>
          <a:ln w="19050">
            <a:solidFill>
              <a:schemeClr val="lt1"/>
            </a:solidFill>
          </a:ln>
          <a:effectLst/>
        </c:spPr>
      </c:pivotFmt>
      <c:pivotFmt>
        <c:idx val="18"/>
        <c:spPr>
          <a:solidFill>
            <a:schemeClr val="accent2">
              <a:shade val="86000"/>
            </a:schemeClr>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tint val="86000"/>
            </a:schemeClr>
          </a:solidFill>
          <a:ln w="19050">
            <a:solidFill>
              <a:schemeClr val="lt1"/>
            </a:solidFill>
          </a:ln>
          <a:effectLst/>
        </c:spPr>
      </c:pivotFmt>
      <c:pivotFmt>
        <c:idx val="21"/>
        <c:spPr>
          <a:solidFill>
            <a:schemeClr val="accent2">
              <a:tint val="72000"/>
            </a:schemeClr>
          </a:solidFill>
          <a:ln w="19050">
            <a:solidFill>
              <a:schemeClr val="lt1"/>
            </a:solidFill>
          </a:ln>
          <a:effectLst/>
        </c:spPr>
      </c:pivotFmt>
      <c:pivotFmt>
        <c:idx val="22"/>
        <c:spPr>
          <a:solidFill>
            <a:schemeClr val="accent2">
              <a:tint val="58000"/>
            </a:schemeClr>
          </a:solidFill>
          <a:ln w="19050">
            <a:solidFill>
              <a:schemeClr val="lt1"/>
            </a:solidFill>
          </a:ln>
          <a:effectLst/>
        </c:spPr>
      </c:pivotFmt>
      <c:pivotFmt>
        <c:idx val="23"/>
        <c:spPr>
          <a:solidFill>
            <a:schemeClr val="accent2">
              <a:tint val="44000"/>
            </a:schemeClr>
          </a:solidFill>
          <a:ln w="19050">
            <a:solidFill>
              <a:schemeClr val="lt1"/>
            </a:solidFill>
          </a:ln>
          <a:effectLst/>
        </c:spPr>
      </c:pivotFmt>
    </c:pivotFmts>
    <c:plotArea>
      <c:layout/>
      <c:pieChart>
        <c:varyColors val="1"/>
        <c:ser>
          <c:idx val="0"/>
          <c:order val="0"/>
          <c:tx>
            <c:strRef>
              <c:f>' Count of PRs per Category'!$B$3</c:f>
              <c:strCache>
                <c:ptCount val="1"/>
                <c:pt idx="0">
                  <c:v>Total</c:v>
                </c:pt>
              </c:strCache>
            </c:strRef>
          </c:tx>
          <c:dPt>
            <c:idx val="0"/>
            <c:bubble3D val="0"/>
            <c:spPr>
              <a:solidFill>
                <a:schemeClr val="accent2">
                  <a:shade val="44000"/>
                </a:schemeClr>
              </a:solidFill>
              <a:ln w="19050">
                <a:solidFill>
                  <a:schemeClr val="lt1"/>
                </a:solidFill>
              </a:ln>
              <a:effectLst/>
            </c:spPr>
            <c:extLst>
              <c:ext xmlns:c16="http://schemas.microsoft.com/office/drawing/2014/chart" uri="{C3380CC4-5D6E-409C-BE32-E72D297353CC}">
                <c16:uniqueId val="{00000001-007A-4664-A3C0-E26EBCDEC923}"/>
              </c:ext>
            </c:extLst>
          </c:dPt>
          <c:dPt>
            <c:idx val="1"/>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3-007A-4664-A3C0-E26EBCDEC923}"/>
              </c:ext>
            </c:extLst>
          </c:dPt>
          <c:dPt>
            <c:idx val="2"/>
            <c:bubble3D val="0"/>
            <c:spPr>
              <a:solidFill>
                <a:schemeClr val="accent2">
                  <a:shade val="72000"/>
                </a:schemeClr>
              </a:solidFill>
              <a:ln w="19050">
                <a:solidFill>
                  <a:schemeClr val="lt1"/>
                </a:solidFill>
              </a:ln>
              <a:effectLst/>
            </c:spPr>
            <c:extLst>
              <c:ext xmlns:c16="http://schemas.microsoft.com/office/drawing/2014/chart" uri="{C3380CC4-5D6E-409C-BE32-E72D297353CC}">
                <c16:uniqueId val="{00000005-007A-4664-A3C0-E26EBCDEC923}"/>
              </c:ext>
            </c:extLst>
          </c:dPt>
          <c:dPt>
            <c:idx val="3"/>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7-007A-4664-A3C0-E26EBCDEC923}"/>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007A-4664-A3C0-E26EBCDEC923}"/>
              </c:ext>
            </c:extLst>
          </c:dPt>
          <c:dPt>
            <c:idx val="5"/>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B-007A-4664-A3C0-E26EBCDEC923}"/>
              </c:ext>
            </c:extLst>
          </c:dPt>
          <c:dPt>
            <c:idx val="6"/>
            <c:bubble3D val="0"/>
            <c:spPr>
              <a:solidFill>
                <a:schemeClr val="accent2">
                  <a:tint val="72000"/>
                </a:schemeClr>
              </a:solidFill>
              <a:ln w="19050">
                <a:solidFill>
                  <a:schemeClr val="lt1"/>
                </a:solidFill>
              </a:ln>
              <a:effectLst/>
            </c:spPr>
            <c:extLst>
              <c:ext xmlns:c16="http://schemas.microsoft.com/office/drawing/2014/chart" uri="{C3380CC4-5D6E-409C-BE32-E72D297353CC}">
                <c16:uniqueId val="{0000000D-007A-4664-A3C0-E26EBCDEC923}"/>
              </c:ext>
            </c:extLst>
          </c:dPt>
          <c:dPt>
            <c:idx val="7"/>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F-007A-4664-A3C0-E26EBCDEC923}"/>
              </c:ext>
            </c:extLst>
          </c:dPt>
          <c:dPt>
            <c:idx val="8"/>
            <c:bubble3D val="0"/>
            <c:spPr>
              <a:solidFill>
                <a:schemeClr val="accent2">
                  <a:tint val="44000"/>
                </a:schemeClr>
              </a:solidFill>
              <a:ln w="19050">
                <a:solidFill>
                  <a:schemeClr val="lt1"/>
                </a:solidFill>
              </a:ln>
              <a:effectLst/>
            </c:spPr>
            <c:extLst>
              <c:ext xmlns:c16="http://schemas.microsoft.com/office/drawing/2014/chart" uri="{C3380CC4-5D6E-409C-BE32-E72D297353CC}">
                <c16:uniqueId val="{00000011-007A-4664-A3C0-E26EBCDEC923}"/>
              </c:ext>
            </c:extLst>
          </c:dPt>
          <c:cat>
            <c:strRef>
              <c:f>' Count of PRs per Category'!$A$4:$A$13</c:f>
              <c:strCache>
                <c:ptCount val="9"/>
                <c:pt idx="0">
                  <c:v>Autodesk AutoCAD  License</c:v>
                </c:pt>
                <c:pt idx="1">
                  <c:v>Camera</c:v>
                </c:pt>
                <c:pt idx="2">
                  <c:v>Cars</c:v>
                </c:pt>
                <c:pt idx="3">
                  <c:v>Laptop</c:v>
                </c:pt>
                <c:pt idx="4">
                  <c:v>Marketing</c:v>
                </c:pt>
                <c:pt idx="5">
                  <c:v>Phone</c:v>
                </c:pt>
                <c:pt idx="6">
                  <c:v>Plastic</c:v>
                </c:pt>
                <c:pt idx="7">
                  <c:v>Saas App</c:v>
                </c:pt>
                <c:pt idx="8">
                  <c:v>(blank)</c:v>
                </c:pt>
              </c:strCache>
            </c:strRef>
          </c:cat>
          <c:val>
            <c:numRef>
              <c:f>' Count of PRs per Category'!$B$4:$B$13</c:f>
              <c:numCache>
                <c:formatCode>General</c:formatCode>
                <c:ptCount val="9"/>
                <c:pt idx="0">
                  <c:v>7</c:v>
                </c:pt>
                <c:pt idx="1">
                  <c:v>21</c:v>
                </c:pt>
                <c:pt idx="2">
                  <c:v>19</c:v>
                </c:pt>
                <c:pt idx="3">
                  <c:v>5</c:v>
                </c:pt>
                <c:pt idx="4">
                  <c:v>75</c:v>
                </c:pt>
                <c:pt idx="5">
                  <c:v>47</c:v>
                </c:pt>
                <c:pt idx="6">
                  <c:v>55</c:v>
                </c:pt>
                <c:pt idx="7">
                  <c:v>4</c:v>
                </c:pt>
              </c:numCache>
            </c:numRef>
          </c:val>
          <c:extLst>
            <c:ext xmlns:c16="http://schemas.microsoft.com/office/drawing/2014/chart" uri="{C3380CC4-5D6E-409C-BE32-E72D297353CC}">
              <c16:uniqueId val="{00000012-007A-4664-A3C0-E26EBCDEC923}"/>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[Tracking File project Q42025 copy.xlsx]PRs by Name!PivotTable8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PRs</a:t>
            </a:r>
            <a:r>
              <a:rPr lang="en-US" baseline="0"/>
              <a:t> by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'PRs by Name'!$B$3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'PRs by Name'!$A$4:$A$12</c:f>
              <c:strCache>
                <c:ptCount val="8"/>
                <c:pt idx="0">
                  <c:v>(blank)</c:v>
                </c:pt>
                <c:pt idx="1">
                  <c:v>Name 3</c:v>
                </c:pt>
                <c:pt idx="2">
                  <c:v>Name 2</c:v>
                </c:pt>
                <c:pt idx="3">
                  <c:v>Name 6</c:v>
                </c:pt>
                <c:pt idx="4">
                  <c:v>Name 7</c:v>
                </c:pt>
                <c:pt idx="5">
                  <c:v>Name 1</c:v>
                </c:pt>
                <c:pt idx="6">
                  <c:v>Name 4</c:v>
                </c:pt>
                <c:pt idx="7">
                  <c:v>Name 5</c:v>
                </c:pt>
              </c:strCache>
            </c:strRef>
          </c:cat>
          <c:val>
            <c:numRef>
              <c:f>'PRs by Name'!$B$4:$B$12</c:f>
              <c:numCache>
                <c:formatCode>General</c:formatCode>
                <c:ptCount val="8"/>
                <c:pt idx="1">
                  <c:v>7</c:v>
                </c:pt>
                <c:pt idx="2">
                  <c:v>9</c:v>
                </c:pt>
                <c:pt idx="3">
                  <c:v>18</c:v>
                </c:pt>
                <c:pt idx="4">
                  <c:v>22</c:v>
                </c:pt>
                <c:pt idx="5">
                  <c:v>31</c:v>
                </c:pt>
                <c:pt idx="6">
                  <c:v>69</c:v>
                </c:pt>
                <c:pt idx="7">
                  <c:v>77</c:v>
                </c:pt>
              </c:numCache>
            </c:numRef>
          </c:val>
          <c:extLst>
            <c:ext xmlns:c16="http://schemas.microsoft.com/office/drawing/2014/chart" uri="{C3380CC4-5D6E-409C-BE32-E72D297353CC}">
              <c16:uniqueId val="{00000000-BECD-4F57-9752-FCF59696CDB0}"/>
            </c:ext>
          </c:extLst>
        </c:ser>
        <c:dLbls>
          <c:dLblPos val="outEnd"/>
          <c:showLegendKey val="0"/>
          <c:showVal val="1"/>
          <c:showCatName val="0"/>
          <c:showSerName val="0"/>
          <c:showPercent val="0"/>
          <c:showBubbleSize val="0"/>
        </c:dLbls>
        <c:gapWidth val="182"/>
        <c:axId val="1010089087"/>
        <c:axId val="1010083327"/>
      </c:barChart>
      <c:catAx>
        <c:axId val="10100890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83327"/>
        <c:crosses val="autoZero"/>
        <c:auto val="1"/>
        <c:lblAlgn val="ctr"/>
        <c:lblOffset val="100"/>
        <c:noMultiLvlLbl val="0"/>
      </c:catAx>
      <c:valAx>
        <c:axId val="1010083327"/>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08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 Items per PR Numbers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Items per PR Numbers</a:t>
          </a:r>
        </a:p>
      </cx:txPr>
    </cx:title>
    <cx:plotArea>
      <cx:plotAreaRegion>
        <cx:series layoutId="treemap" uniqueId="{73836748-10A8-47B6-9A12-73BC3958214E}">
          <cx:tx>
            <cx:txData>
              <cx:f>_xlchart.v1.1</cx:f>
              <cx:v>Count of PR #</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1/relationships/webextension" Target="../webextensions/webextension2.xml"/><Relationship Id="rId2" Type="http://schemas.openxmlformats.org/officeDocument/2006/relationships/image" Target="../media/image1.png"/><Relationship Id="rId1" Type="http://schemas.microsoft.com/office/2011/relationships/webextension" Target="../webextensions/webextension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3.xml"/></Relationships>
</file>

<file path=xl/drawings/drawing1.xml><?xml version="1.0" encoding="utf-8"?>
<xdr:wsDr xmlns:xdr="http://schemas.openxmlformats.org/drawingml/2006/spreadsheetDrawing" xmlns:a="http://schemas.openxmlformats.org/drawingml/2006/main">
  <xdr:twoCellAnchor>
    <xdr:from>
      <xdr:col>12</xdr:col>
      <xdr:colOff>367393</xdr:colOff>
      <xdr:row>0</xdr:row>
      <xdr:rowOff>0</xdr:rowOff>
    </xdr:from>
    <xdr:to>
      <xdr:col>12</xdr:col>
      <xdr:colOff>2741838</xdr:colOff>
      <xdr:row>0</xdr:row>
      <xdr:rowOff>0</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79153248-F06F-452F-8F53-90D7806F00D2}"/>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79153248-F06F-452F-8F53-90D7806F00D2}"/>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13</xdr:col>
      <xdr:colOff>0</xdr:colOff>
      <xdr:row>0</xdr:row>
      <xdr:rowOff>0</xdr:rowOff>
    </xdr:from>
    <xdr:to>
      <xdr:col>14</xdr:col>
      <xdr:colOff>401410</xdr:colOff>
      <xdr:row>0</xdr:row>
      <xdr:rowOff>0</xdr:rowOff>
    </xdr:to>
    <mc:AlternateContent xmlns:mc="http://schemas.openxmlformats.org/markup-compatibility/2006">
      <mc:Choice xmlns:we="http://schemas.microsoft.com/office/webextensions/webextension/2010/11" Requires="we">
        <xdr:graphicFrame macro="">
          <xdr:nvGraphicFramePr>
            <xdr:cNvPr id="3" name="Add-in 2">
              <a:extLst>
                <a:ext uri="{FF2B5EF4-FFF2-40B4-BE49-F238E27FC236}">
                  <a16:creationId xmlns:a16="http://schemas.microsoft.com/office/drawing/2014/main" id="{F91EA16F-5414-4D75-A8AF-CDFC1DF4E84F}"/>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3"/>
            </a:graphicData>
          </a:graphic>
        </xdr:graphicFrame>
      </mc:Choice>
      <mc:Fallback>
        <xdr:pic>
          <xdr:nvPicPr>
            <xdr:cNvPr id="3" name="Add-in 2">
              <a:extLst>
                <a:ext uri="{FF2B5EF4-FFF2-40B4-BE49-F238E27FC236}">
                  <a16:creationId xmlns:a16="http://schemas.microsoft.com/office/drawing/2014/main" id="{F91EA16F-5414-4D75-A8AF-CDFC1DF4E84F}"/>
                </a:ext>
              </a:extLst>
            </xdr:cNvPr>
            <xdr:cNvPicPr/>
          </xdr:nvPicPr>
          <xdr:blipFill>
            <a:blip xmlns:r="http://schemas.openxmlformats.org/officeDocument/2006/relationships" r:embed="rId4"/>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139701</xdr:colOff>
      <xdr:row>6</xdr:row>
      <xdr:rowOff>49211</xdr:rowOff>
    </xdr:from>
    <xdr:to>
      <xdr:col>10</xdr:col>
      <xdr:colOff>504827</xdr:colOff>
      <xdr:row>24</xdr:row>
      <xdr:rowOff>161924</xdr:rowOff>
    </xdr:to>
    <xdr:graphicFrame macro="">
      <xdr:nvGraphicFramePr>
        <xdr:cNvPr id="2" name="Chart 1">
          <a:extLst>
            <a:ext uri="{FF2B5EF4-FFF2-40B4-BE49-F238E27FC236}">
              <a16:creationId xmlns:a16="http://schemas.microsoft.com/office/drawing/2014/main" id="{F5610967-1985-80E7-AB66-4B1D694A7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438150</xdr:colOff>
      <xdr:row>6</xdr:row>
      <xdr:rowOff>52387</xdr:rowOff>
    </xdr:from>
    <xdr:to>
      <xdr:col>12</xdr:col>
      <xdr:colOff>133350</xdr:colOff>
      <xdr:row>20</xdr:row>
      <xdr:rowOff>128587</xdr:rowOff>
    </xdr:to>
    <xdr:graphicFrame macro="">
      <xdr:nvGraphicFramePr>
        <xdr:cNvPr id="2" name="Chart 1">
          <a:extLst>
            <a:ext uri="{FF2B5EF4-FFF2-40B4-BE49-F238E27FC236}">
              <a16:creationId xmlns:a16="http://schemas.microsoft.com/office/drawing/2014/main" id="{B04E1BEE-EC78-8652-B3FF-34447959B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323850</xdr:colOff>
      <xdr:row>6</xdr:row>
      <xdr:rowOff>52387</xdr:rowOff>
    </xdr:from>
    <xdr:to>
      <xdr:col>12</xdr:col>
      <xdr:colOff>19050</xdr:colOff>
      <xdr:row>20</xdr:row>
      <xdr:rowOff>128587</xdr:rowOff>
    </xdr:to>
    <xdr:graphicFrame macro="">
      <xdr:nvGraphicFramePr>
        <xdr:cNvPr id="2" name="Chart 1">
          <a:extLst>
            <a:ext uri="{FF2B5EF4-FFF2-40B4-BE49-F238E27FC236}">
              <a16:creationId xmlns:a16="http://schemas.microsoft.com/office/drawing/2014/main" id="{37A0B776-C581-0119-61B2-5FBB50759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60325</xdr:colOff>
      <xdr:row>2</xdr:row>
      <xdr:rowOff>73025</xdr:rowOff>
    </xdr:from>
    <xdr:to>
      <xdr:col>18</xdr:col>
      <xdr:colOff>365125</xdr:colOff>
      <xdr:row>16</xdr:row>
      <xdr:rowOff>149225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AD6C198-CFEE-D536-4EBF-0645188C8A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S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415925</xdr:colOff>
      <xdr:row>1</xdr:row>
      <xdr:rowOff>168275</xdr:rowOff>
    </xdr:from>
    <xdr:to>
      <xdr:col>9</xdr:col>
      <xdr:colOff>1330325</xdr:colOff>
      <xdr:row>16</xdr:row>
      <xdr:rowOff>53975</xdr:rowOff>
    </xdr:to>
    <xdr:graphicFrame macro="">
      <xdr:nvGraphicFramePr>
        <xdr:cNvPr id="3" name="Chart 2">
          <a:extLst>
            <a:ext uri="{FF2B5EF4-FFF2-40B4-BE49-F238E27FC236}">
              <a16:creationId xmlns:a16="http://schemas.microsoft.com/office/drawing/2014/main" id="{1F6C7C7F-2C4C-DA46-044B-5DB9E7966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133350</xdr:colOff>
      <xdr:row>1</xdr:row>
      <xdr:rowOff>168275</xdr:rowOff>
    </xdr:from>
    <xdr:to>
      <xdr:col>9</xdr:col>
      <xdr:colOff>438150</xdr:colOff>
      <xdr:row>16</xdr:row>
      <xdr:rowOff>53975</xdr:rowOff>
    </xdr:to>
    <xdr:graphicFrame macro="">
      <xdr:nvGraphicFramePr>
        <xdr:cNvPr id="2" name="Chart 1">
          <a:extLst>
            <a:ext uri="{FF2B5EF4-FFF2-40B4-BE49-F238E27FC236}">
              <a16:creationId xmlns:a16="http://schemas.microsoft.com/office/drawing/2014/main" id="{91B472A5-D455-7298-E43F-663229466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228600</xdr:colOff>
      <xdr:row>5</xdr:row>
      <xdr:rowOff>184150</xdr:rowOff>
    </xdr:from>
    <xdr:to>
      <xdr:col>9</xdr:col>
      <xdr:colOff>514350</xdr:colOff>
      <xdr:row>13</xdr:row>
      <xdr:rowOff>34925</xdr:rowOff>
    </xdr:to>
    <mc:AlternateContent xmlns:mc="http://schemas.openxmlformats.org/markup-compatibility/2006" xmlns:tsle="http://schemas.microsoft.com/office/drawing/2012/timeslicer">
      <mc:Choice Requires="tsle">
        <xdr:graphicFrame macro="">
          <xdr:nvGraphicFramePr>
            <xdr:cNvPr id="5" name="  PR Date">
              <a:extLst>
                <a:ext uri="{FF2B5EF4-FFF2-40B4-BE49-F238E27FC236}">
                  <a16:creationId xmlns:a16="http://schemas.microsoft.com/office/drawing/2014/main" id="{EBD16592-55BD-21CB-2627-E22EC80D9645}"/>
                </a:ext>
              </a:extLst>
            </xdr:cNvPr>
            <xdr:cNvGraphicFramePr/>
          </xdr:nvGraphicFramePr>
          <xdr:xfrm>
            <a:off x="0" y="0"/>
            <a:ext cx="0" cy="0"/>
          </xdr:xfrm>
          <a:graphic>
            <a:graphicData uri="http://schemas.microsoft.com/office/drawing/2012/timeslicer">
              <tsle:timeslicer name="  PR Date"/>
            </a:graphicData>
          </a:graphic>
        </xdr:graphicFrame>
      </mc:Choice>
      <mc:Fallback xmlns="">
        <xdr:sp macro="" textlink="">
          <xdr:nvSpPr>
            <xdr:cNvPr id="0" name=""/>
            <xdr:cNvSpPr>
              <a:spLocks noTextEdit="1"/>
            </xdr:cNvSpPr>
          </xdr:nvSpPr>
          <xdr:spPr>
            <a:xfrm>
              <a:off x="2667000" y="11398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390073</xdr:colOff>
      <xdr:row>8</xdr:row>
      <xdr:rowOff>34472</xdr:rowOff>
    </xdr:from>
    <xdr:to>
      <xdr:col>10</xdr:col>
      <xdr:colOff>263375</xdr:colOff>
      <xdr:row>19</xdr:row>
      <xdr:rowOff>111024</xdr:rowOff>
    </xdr:to>
    <xdr:graphicFrame macro="">
      <xdr:nvGraphicFramePr>
        <xdr:cNvPr id="2" name="Chart 1">
          <a:extLst>
            <a:ext uri="{FF2B5EF4-FFF2-40B4-BE49-F238E27FC236}">
              <a16:creationId xmlns:a16="http://schemas.microsoft.com/office/drawing/2014/main" id="{6E8FF08B-485B-45FF-9B1F-3E89AED8F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290286</xdr:colOff>
      <xdr:row>8</xdr:row>
      <xdr:rowOff>27419</xdr:rowOff>
    </xdr:from>
    <xdr:to>
      <xdr:col>15</xdr:col>
      <xdr:colOff>268111</xdr:colOff>
      <xdr:row>19</xdr:row>
      <xdr:rowOff>96915</xdr:rowOff>
    </xdr:to>
    <xdr:graphicFrame macro="">
      <xdr:nvGraphicFramePr>
        <xdr:cNvPr id="3" name="Chart 2">
          <a:extLst>
            <a:ext uri="{FF2B5EF4-FFF2-40B4-BE49-F238E27FC236}">
              <a16:creationId xmlns:a16="http://schemas.microsoft.com/office/drawing/2014/main" id="{38B4DCC0-E79C-4078-8352-F0A458253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12246</xdr:colOff>
      <xdr:row>15</xdr:row>
      <xdr:rowOff>131082</xdr:rowOff>
    </xdr:from>
    <xdr:to>
      <xdr:col>3</xdr:col>
      <xdr:colOff>360136</xdr:colOff>
      <xdr:row>21</xdr:row>
      <xdr:rowOff>188232</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8FFE4E14-F921-95AA-D807-F066769A117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421" y="2586415"/>
              <a:ext cx="218621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299357</xdr:colOff>
      <xdr:row>8</xdr:row>
      <xdr:rowOff>35501</xdr:rowOff>
    </xdr:from>
    <xdr:to>
      <xdr:col>20</xdr:col>
      <xdr:colOff>566016</xdr:colOff>
      <xdr:row>19</xdr:row>
      <xdr:rowOff>89765</xdr:rowOff>
    </xdr:to>
    <xdr:graphicFrame macro="">
      <xdr:nvGraphicFramePr>
        <xdr:cNvPr id="6" name="Chart 5">
          <a:extLst>
            <a:ext uri="{FF2B5EF4-FFF2-40B4-BE49-F238E27FC236}">
              <a16:creationId xmlns:a16="http://schemas.microsoft.com/office/drawing/2014/main" id="{8C044D19-4A82-4707-82A8-04C8F8367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3173</xdr:colOff>
      <xdr:row>22</xdr:row>
      <xdr:rowOff>19049</xdr:rowOff>
    </xdr:from>
    <xdr:to>
      <xdr:col>3</xdr:col>
      <xdr:colOff>353786</xdr:colOff>
      <xdr:row>26</xdr:row>
      <xdr:rowOff>154214</xdr:rowOff>
    </xdr:to>
    <mc:AlternateContent xmlns:mc="http://schemas.openxmlformats.org/markup-compatibility/2006" xmlns:a14="http://schemas.microsoft.com/office/drawing/2010/main">
      <mc:Choice Requires="a14">
        <xdr:graphicFrame macro="">
          <xdr:nvGraphicFramePr>
            <xdr:cNvPr id="7" name=" Name">
              <a:extLst>
                <a:ext uri="{FF2B5EF4-FFF2-40B4-BE49-F238E27FC236}">
                  <a16:creationId xmlns:a16="http://schemas.microsoft.com/office/drawing/2014/main" id="{8D8772EF-7C31-AE02-12FE-66FAF68B23CC}"/>
                </a:ext>
              </a:extLst>
            </xdr:cNvPr>
            <xdr:cNvGraphicFramePr/>
          </xdr:nvGraphicFramePr>
          <xdr:xfrm>
            <a:off x="0" y="0"/>
            <a:ext cx="0" cy="0"/>
          </xdr:xfrm>
          <a:graphic>
            <a:graphicData uri="http://schemas.microsoft.com/office/drawing/2010/slicer">
              <sle:slicer xmlns:sle="http://schemas.microsoft.com/office/drawing/2010/slicer" name=" Name"/>
            </a:graphicData>
          </a:graphic>
        </xdr:graphicFrame>
      </mc:Choice>
      <mc:Fallback xmlns="">
        <xdr:sp macro="" textlink="">
          <xdr:nvSpPr>
            <xdr:cNvPr id="0" name=""/>
            <xdr:cNvSpPr>
              <a:spLocks noTextEdit="1"/>
            </xdr:cNvSpPr>
          </xdr:nvSpPr>
          <xdr:spPr>
            <a:xfrm>
              <a:off x="3173" y="3807882"/>
              <a:ext cx="2195288" cy="897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302532</xdr:colOff>
      <xdr:row>19</xdr:row>
      <xdr:rowOff>148317</xdr:rowOff>
    </xdr:from>
    <xdr:to>
      <xdr:col>20</xdr:col>
      <xdr:colOff>575127</xdr:colOff>
      <xdr:row>31</xdr:row>
      <xdr:rowOff>51707</xdr:rowOff>
    </xdr:to>
    <xdr:graphicFrame macro="">
      <xdr:nvGraphicFramePr>
        <xdr:cNvPr id="9" name="Chart 8">
          <a:extLst>
            <a:ext uri="{FF2B5EF4-FFF2-40B4-BE49-F238E27FC236}">
              <a16:creationId xmlns:a16="http://schemas.microsoft.com/office/drawing/2014/main" id="{8BCFEDFE-B2B2-4B75-9249-5F0671925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xdr:colOff>
      <xdr:row>26</xdr:row>
      <xdr:rowOff>187780</xdr:rowOff>
    </xdr:from>
    <xdr:to>
      <xdr:col>3</xdr:col>
      <xdr:colOff>353785</xdr:colOff>
      <xdr:row>31</xdr:row>
      <xdr:rowOff>149680</xdr:rowOff>
    </xdr:to>
    <mc:AlternateContent xmlns:mc="http://schemas.openxmlformats.org/markup-compatibility/2006" xmlns:a14="http://schemas.microsoft.com/office/drawing/2010/main">
      <mc:Choice Requires="a14">
        <xdr:graphicFrame macro="">
          <xdr:nvGraphicFramePr>
            <xdr:cNvPr id="10" name="PR #">
              <a:extLst>
                <a:ext uri="{FF2B5EF4-FFF2-40B4-BE49-F238E27FC236}">
                  <a16:creationId xmlns:a16="http://schemas.microsoft.com/office/drawing/2014/main" id="{6A208BA8-1906-32D2-4222-3180D2F845C8}"/>
                </a:ext>
              </a:extLst>
            </xdr:cNvPr>
            <xdr:cNvGraphicFramePr/>
          </xdr:nvGraphicFramePr>
          <xdr:xfrm>
            <a:off x="0" y="0"/>
            <a:ext cx="0" cy="0"/>
          </xdr:xfrm>
          <a:graphic>
            <a:graphicData uri="http://schemas.microsoft.com/office/drawing/2010/slicer">
              <sle:slicer xmlns:sle="http://schemas.microsoft.com/office/drawing/2010/slicer" name="PR #"/>
            </a:graphicData>
          </a:graphic>
        </xdr:graphicFrame>
      </mc:Choice>
      <mc:Fallback xmlns="">
        <xdr:sp macro="" textlink="">
          <xdr:nvSpPr>
            <xdr:cNvPr id="0" name=""/>
            <xdr:cNvSpPr>
              <a:spLocks noTextEdit="1"/>
            </xdr:cNvSpPr>
          </xdr:nvSpPr>
          <xdr:spPr>
            <a:xfrm>
              <a:off x="12700" y="4738613"/>
              <a:ext cx="218576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408215</xdr:colOff>
      <xdr:row>19</xdr:row>
      <xdr:rowOff>149390</xdr:rowOff>
    </xdr:from>
    <xdr:to>
      <xdr:col>13</xdr:col>
      <xdr:colOff>226786</xdr:colOff>
      <xdr:row>31</xdr:row>
      <xdr:rowOff>53273</xdr:rowOff>
    </xdr:to>
    <xdr:graphicFrame macro="">
      <xdr:nvGraphicFramePr>
        <xdr:cNvPr id="11" name="Chart 10">
          <a:extLst>
            <a:ext uri="{FF2B5EF4-FFF2-40B4-BE49-F238E27FC236}">
              <a16:creationId xmlns:a16="http://schemas.microsoft.com/office/drawing/2014/main" id="{9B17885D-1512-44E2-B0CE-625A0D6D2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8</xdr:row>
      <xdr:rowOff>33564</xdr:rowOff>
    </xdr:from>
    <xdr:to>
      <xdr:col>3</xdr:col>
      <xdr:colOff>360136</xdr:colOff>
      <xdr:row>15</xdr:row>
      <xdr:rowOff>90714</xdr:rowOff>
    </xdr:to>
    <mc:AlternateContent xmlns:mc="http://schemas.openxmlformats.org/markup-compatibility/2006" xmlns:tsle="http://schemas.microsoft.com/office/drawing/2012/timeslicer">
      <mc:Choice Requires="tsle">
        <xdr:graphicFrame macro="">
          <xdr:nvGraphicFramePr>
            <xdr:cNvPr id="12" name="  PR Date 1">
              <a:extLst>
                <a:ext uri="{FF2B5EF4-FFF2-40B4-BE49-F238E27FC236}">
                  <a16:creationId xmlns:a16="http://schemas.microsoft.com/office/drawing/2014/main" id="{0C02C019-2B4B-4362-9902-15EF30BE11BD}"/>
                </a:ext>
              </a:extLst>
            </xdr:cNvPr>
            <xdr:cNvGraphicFramePr/>
          </xdr:nvGraphicFramePr>
          <xdr:xfrm>
            <a:off x="0" y="0"/>
            <a:ext cx="0" cy="0"/>
          </xdr:xfrm>
          <a:graphic>
            <a:graphicData uri="http://schemas.microsoft.com/office/drawing/2012/timeslicer">
              <tsle:timeslicer name="  PR Date 1"/>
            </a:graphicData>
          </a:graphic>
        </xdr:graphicFrame>
      </mc:Choice>
      <mc:Fallback xmlns="">
        <xdr:sp macro="" textlink="">
          <xdr:nvSpPr>
            <xdr:cNvPr id="0" name=""/>
            <xdr:cNvSpPr>
              <a:spLocks noTextEdit="1"/>
            </xdr:cNvSpPr>
          </xdr:nvSpPr>
          <xdr:spPr>
            <a:xfrm>
              <a:off x="0" y="1155397"/>
              <a:ext cx="2201636" cy="1390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12</xdr:col>
      <xdr:colOff>367393</xdr:colOff>
      <xdr:row>0</xdr:row>
      <xdr:rowOff>0</xdr:rowOff>
    </xdr:from>
    <xdr:to>
      <xdr:col>12</xdr:col>
      <xdr:colOff>2741838</xdr:colOff>
      <xdr:row>0</xdr:row>
      <xdr:rowOff>0</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36773B40-7FCC-49C6-B455-C5D455E23837}"/>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36773B40-7FCC-49C6-B455-C5D455E23837}"/>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8532DC-D560-41F9-ACAC-4A2C19812239}"/>
  <namedSheetView name="View2" id="{985DA633-1813-4D90-9AB2-2E5821B85B33}"/>
  <namedSheetView name="View3" id="{F5A86597-1717-43E0-854B-FCCE90CF364F}"/>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97AA732-5F85-423A-8521-4805C0A2C491}"/>
  <namedSheetView name="View2" id="{EAE3AB30-5DD7-4460-9F2A-41249DFC5EC5}"/>
  <namedSheetView name="View3" id="{29EFCBCA-05B2-4380-97FD-9E8C44E263CD}"/>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EB34B44-0402-4ABC-858C-D9433C149E5A}">
    <nsvFilter filterId="{90D026FF-B80A-47EE-B5C9-CA2F092B5400}" ref="A1:R127" tableId="0">
      <columnFilter colId="0">
        <filter colId="0">
          <x:filters>
            <x:filter val="donnee"/>
          </x:filters>
        </filter>
      </columnFilter>
    </nsvFilter>
  </namedSheetView>
  <namedSheetView name="View2" id="{12B35D25-A093-4021-9C2D-8468E948F6A6}">
    <nsvFilter filterId="{90D026FF-B80A-47EE-B5C9-CA2F092B5400}" ref="A1:R127" tableId="0">
      <columnFilter colId="0">
        <filter colId="0">
          <x:filters>
            <x:filter val="donnee"/>
          </x:filters>
        </filter>
      </columnFilter>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ma Saleh ريما صالح" refreshedDate="45965.81826064815" createdVersion="8" refreshedVersion="8" minRefreshableVersion="3" recordCount="234" xr:uid="{2ABE1CB9-1A8C-41F4-B563-63824A195FF9}">
  <cacheSource type="worksheet">
    <worksheetSource ref="A1:T1048576" sheet="Main Tracking Sheet"/>
  </cacheSource>
  <cacheFields count="20">
    <cacheField name=" Name" numFmtId="0">
      <sharedItems containsBlank="1" count="9">
        <s v="Name 2"/>
        <s v="Name 1"/>
        <s v="Name 6"/>
        <s v="Name 4"/>
        <s v="Name 7"/>
        <s v="Name 3"/>
        <s v="Name 5"/>
        <m/>
        <s v="Name3" u="1"/>
      </sharedItems>
    </cacheField>
    <cacheField name="Department" numFmtId="0">
      <sharedItems containsBlank="1" count="4">
        <s v="IT"/>
        <s v="General"/>
        <s v="Equipment"/>
        <m/>
      </sharedItems>
    </cacheField>
    <cacheField name="PR #" numFmtId="0">
      <sharedItems containsBlank="1" count="234">
        <s v="PR-0001"/>
        <s v="PR-0002"/>
        <s v="PR-0003"/>
        <s v="PR-0004"/>
        <s v="PR-0005"/>
        <s v="PR-0006"/>
        <s v="PR-0007"/>
        <s v="PR-0008"/>
        <s v="PR-0009"/>
        <s v="PR-0010"/>
        <s v="PR-0011"/>
        <s v="PR-0012"/>
        <s v="PR-0013"/>
        <s v="PR-0014"/>
        <s v="PR-0015"/>
        <s v="PR-0016"/>
        <s v="PR-0017"/>
        <s v="PR-0018"/>
        <s v="PR-0019"/>
        <s v="PR-0020"/>
        <s v="PR-0021"/>
        <s v="PR-0022"/>
        <s v="PR-0023"/>
        <s v="PR-0024"/>
        <s v="PR-0025"/>
        <s v="PR-0026"/>
        <s v="PR-0027"/>
        <s v="PR-0028"/>
        <s v="PR-0029"/>
        <s v="PR-0030"/>
        <s v="PR-0031"/>
        <s v="PR-0032"/>
        <s v="PR-0033"/>
        <s v="PR-0034"/>
        <s v="PR-0035"/>
        <s v="PR-0036"/>
        <s v="PR-0037"/>
        <s v="PR-0038"/>
        <s v="PR-0039"/>
        <s v="PR-0040"/>
        <s v="PR-0041"/>
        <s v="PR-0042"/>
        <s v="PR-0043"/>
        <s v="PR-0044"/>
        <s v="PR-0045"/>
        <s v="PR-0046"/>
        <s v="PR-0047"/>
        <s v="PR-0048"/>
        <s v="PR-0049"/>
        <s v="PR-0050"/>
        <s v="PR-0051"/>
        <s v="PR-0052"/>
        <s v="PR-0053"/>
        <s v="PR-0054"/>
        <s v="PR-0055"/>
        <s v="PR-0056"/>
        <s v="PR-0057"/>
        <s v="PR-0058"/>
        <s v="PR-0059"/>
        <s v="PR-0060"/>
        <s v="PR-0061"/>
        <s v="PR-0062"/>
        <s v="PR-0063"/>
        <s v="PR-0064"/>
        <s v="PR-0065"/>
        <s v="PR-0066"/>
        <s v="PR-0067"/>
        <s v="PR-0068"/>
        <s v="PR-0069"/>
        <s v="PR-0070"/>
        <s v="PR-0071"/>
        <s v="PR-0072"/>
        <s v="PR-0073"/>
        <s v="PR-0074"/>
        <s v="PR-0075"/>
        <s v="PR-0076"/>
        <s v="PR-0077"/>
        <s v="PR-0078"/>
        <s v="PR-0079"/>
        <s v="PR-0080"/>
        <s v="PR-0081"/>
        <s v="PR-0082"/>
        <s v="PR-0083"/>
        <s v="PR-0084"/>
        <s v="PR-0085"/>
        <s v="PR-0086"/>
        <s v="PR-0087"/>
        <s v="PR-0088"/>
        <s v="PR-0089"/>
        <s v="PR-0090"/>
        <s v="PR-0091"/>
        <s v="PR-0092"/>
        <s v="PR-0093"/>
        <s v="PR-0094"/>
        <s v="PR-0095"/>
        <s v="PR-0096"/>
        <s v="PR-0097"/>
        <s v="PR-0098"/>
        <s v="PR-0099"/>
        <s v="PR-0100"/>
        <s v="PR-0101"/>
        <s v="PR-0102"/>
        <s v="PR-0103"/>
        <s v="PR-0104"/>
        <s v="PR-0105"/>
        <s v="PR-0106"/>
        <s v="PR-0107"/>
        <s v="PR-0108"/>
        <s v="PR-0109"/>
        <s v="PR-0110"/>
        <s v="PR-0111"/>
        <s v="PR-0112"/>
        <s v="PR-0113"/>
        <s v="PR-0114"/>
        <s v="PR-0115"/>
        <s v="PR-0116"/>
        <s v="PR-0117"/>
        <s v="PR-0118"/>
        <s v="PR-0119"/>
        <s v="PR-0120"/>
        <s v="PR-0121"/>
        <s v="PR-0122"/>
        <s v="PR-0123"/>
        <s v="PR-0124"/>
        <s v="PR-0125"/>
        <s v="PR-0126"/>
        <s v="PR-0127"/>
        <s v="PR-0128"/>
        <s v="PR-0129"/>
        <s v="PR-0130"/>
        <s v="PR-0131"/>
        <s v="PR-0132"/>
        <s v="PR-0133"/>
        <s v="PR-0134"/>
        <s v="PR-0135"/>
        <s v="PR-0136"/>
        <s v="PR-0137"/>
        <s v="PR-0138"/>
        <s v="PR-0139"/>
        <s v="PR-0140"/>
        <s v="PR-0141"/>
        <s v="PR-0142"/>
        <s v="PR-0143"/>
        <s v="PR-0144"/>
        <s v="PR-0145"/>
        <s v="PR-0146"/>
        <s v="PR-0147"/>
        <s v="PR-0148"/>
        <s v="PR-0149"/>
        <s v="PR-0150"/>
        <s v="PR-0151"/>
        <s v="PR-0152"/>
        <s v="PR-0153"/>
        <s v="PR-0154"/>
        <s v="PR-0155"/>
        <s v="PR-0156"/>
        <s v="PR-0157"/>
        <s v="PR-0158"/>
        <s v="PR-0159"/>
        <s v="PR-0160"/>
        <s v="PR-0161"/>
        <s v="PR-0162"/>
        <s v="PR-0163"/>
        <s v="PR-0164"/>
        <s v="PR-0165"/>
        <s v="PR-0166"/>
        <s v="PR-0167"/>
        <s v="PR-0168"/>
        <s v="PR-0169"/>
        <s v="PR-0170"/>
        <s v="PR-0171"/>
        <s v="PR-0172"/>
        <s v="PR-0173"/>
        <s v="PR-0174"/>
        <s v="PR-0175"/>
        <s v="PR-0176"/>
        <s v="PR-0177"/>
        <s v="PR-0178"/>
        <s v="PR-0179"/>
        <s v="PR-0180"/>
        <s v="PR-0181"/>
        <s v="PR-0182"/>
        <s v="PR-0183"/>
        <s v="PR-0184"/>
        <s v="PR-0185"/>
        <s v="PR-0186"/>
        <s v="PR-0187"/>
        <s v="PR-0188"/>
        <s v="PR-0189"/>
        <s v="PR-0190"/>
        <s v="PR-0191"/>
        <s v="PR-0192"/>
        <s v="PR-0193"/>
        <s v="PR-0194"/>
        <s v="PR-0195"/>
        <s v="PR-0196"/>
        <s v="PR-0197"/>
        <s v="PR-0198"/>
        <s v="PR-0199"/>
        <s v="PR-0200"/>
        <s v="PR-0201"/>
        <s v="PR-0202"/>
        <s v="PR-0203"/>
        <s v="PR-0204"/>
        <s v="PR-0205"/>
        <s v="PR-0206"/>
        <s v="PR-0207"/>
        <s v="PR-0208"/>
        <s v="PR-0209"/>
        <s v="PR-0210"/>
        <s v="PR-0211"/>
        <s v="PR-0212"/>
        <s v="PR-0213"/>
        <s v="PR-0214"/>
        <s v="PR-0215"/>
        <s v="PR-0216"/>
        <s v="PR-0217"/>
        <s v="PR-0218"/>
        <s v="PR-0219"/>
        <s v="PR-0220"/>
        <s v="PR-0221"/>
        <s v="PR-0222"/>
        <s v="PR-0223"/>
        <s v="PR-0224"/>
        <s v="PR-0225"/>
        <s v="PR-0226"/>
        <s v="PR-0227"/>
        <s v="PR-0228"/>
        <s v="PR-0229"/>
        <s v="PR-0230"/>
        <s v="PR-0231"/>
        <s v="PR-0232"/>
        <s v="PR-0233"/>
        <m/>
      </sharedItems>
    </cacheField>
    <cacheField name="  PR Date" numFmtId="165">
      <sharedItems containsNonDate="0" containsDate="1" containsString="0" containsBlank="1" minDate="2025-10-03T00:00:00" maxDate="2025-11-01T00:00:00" count="3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m/>
      </sharedItems>
    </cacheField>
    <cacheField name="Items" numFmtId="0">
      <sharedItems containsBlank="1" count="9">
        <s v="Laptop"/>
        <s v="Phone"/>
        <s v="Marketing"/>
        <s v="Cars"/>
        <s v="Camera"/>
        <s v="Plastic"/>
        <s v="Autodesk AutoCAD  License"/>
        <s v="Saas App"/>
        <m/>
      </sharedItems>
    </cacheField>
    <cacheField name="Requsted Dep" numFmtId="0">
      <sharedItems containsBlank="1"/>
    </cacheField>
    <cacheField name="Total amount" numFmtId="2">
      <sharedItems containsString="0" containsBlank="1" containsNumber="1" minValue="50" maxValue="1000000"/>
    </cacheField>
    <cacheField name="Standard SLA from PR to PO (in Days)" numFmtId="1">
      <sharedItems containsString="0" containsBlank="1" containsNumber="1" containsInteger="1" minValue="7" maxValue="15"/>
    </cacheField>
    <cacheField name="PO  date" numFmtId="165">
      <sharedItems containsNonDate="0" containsDate="1" containsString="0" containsBlank="1" minDate="2025-10-05T00:00:00" maxDate="2025-11-12T00:00:00" count="36">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8T00:00:00"/>
        <d v="2025-11-09T00:00:00"/>
        <d v="2025-11-10T00:00:00"/>
        <d v="2025-11-11T00:00:00"/>
        <d v="2025-11-01T00:00:00"/>
        <d v="2025-11-02T00:00:00"/>
        <d v="2025-11-03T00:00:00"/>
        <d v="2025-11-04T00:00:00"/>
        <d v="2025-10-06T00:00:00"/>
        <d v="2025-10-07T00:00:00"/>
        <d v="2025-10-05T00:00:00"/>
        <m/>
      </sharedItems>
    </cacheField>
    <cacheField name="Actual SLA from PR to PO (in Days)" numFmtId="1">
      <sharedItems containsString="0" containsBlank="1" containsNumber="1" containsInteger="1" minValue="1" maxValue="12"/>
    </cacheField>
    <cacheField name="Actual SLA from PR to PO (in Days) - Copy" numFmtId="1">
      <sharedItems containsString="0" containsBlank="1" containsNumber="1" containsInteger="1" minValue="1" maxValue="12"/>
    </cacheField>
    <cacheField name="SLA on time? - copy" numFmtId="0">
      <sharedItems containsBlank="1" containsMixedTypes="1" containsNumber="1" minValue="-71.428571428571431" maxValue="-20"/>
    </cacheField>
    <cacheField name="SLA on time?" numFmtId="0">
      <sharedItems containsBlank="1" containsMixedTypes="1" containsNumber="1" minValue="42.857142857142854" maxValue="71.428571428571431"/>
    </cacheField>
    <cacheField name="SLA on time?- old" numFmtId="2">
      <sharedItems containsBlank="1"/>
    </cacheField>
    <cacheField name="PO Number" numFmtId="0">
      <sharedItems containsBlank="1"/>
    </cacheField>
    <cacheField name="Delivery date" numFmtId="165">
      <sharedItems containsNonDate="0" containsDate="1" containsString="0" containsBlank="1" minDate="2025-11-04T00:00:00" maxDate="2025-12-12T00:00:00"/>
    </cacheField>
    <cacheField name="Lead time from PO to receive" numFmtId="1">
      <sharedItems containsString="0" containsBlank="1" containsNumber="1" containsInteger="1" minValue="30" maxValue="30"/>
    </cacheField>
    <cacheField name="Status" numFmtId="0">
      <sharedItems containsBlank="1" count="3">
        <s v="Closed "/>
        <s v="Under Process"/>
        <m/>
      </sharedItems>
    </cacheField>
    <cacheField name="Notes" numFmtId="0">
      <sharedItems containsNonDate="0" containsString="0" containsBlank="1"/>
    </cacheField>
    <cacheField name="SLA" numFmtId="0">
      <sharedItems containsString="0" containsBlank="1" containsNumber="1" minValue="-1.7142857142857142" maxValue="-0.1"/>
    </cacheField>
  </cacheFields>
  <extLst>
    <ext xmlns:x14="http://schemas.microsoft.com/office/spreadsheetml/2009/9/main" uri="{725AE2AE-9491-48be-B2B4-4EB974FC3084}">
      <x14:pivotCacheDefinition pivotCacheId="907845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x v="0"/>
    <x v="0"/>
    <x v="0"/>
    <x v="0"/>
    <x v="0"/>
    <s v="Dep 4"/>
    <n v="4930"/>
    <n v="7"/>
    <x v="0"/>
    <n v="5"/>
    <n v="5"/>
    <s v="100"/>
    <s v="100"/>
    <s v="100"/>
    <s v="PO-0001"/>
    <d v="2025-11-07T00:00:00"/>
    <n v="30"/>
    <x v="0"/>
    <m/>
    <m/>
  </r>
  <r>
    <x v="1"/>
    <x v="1"/>
    <x v="1"/>
    <x v="1"/>
    <x v="1"/>
    <s v="Dep 1"/>
    <n v="475"/>
    <n v="7"/>
    <x v="1"/>
    <n v="5"/>
    <n v="5"/>
    <s v="100"/>
    <s v="100"/>
    <s v="100"/>
    <s v="PO-0002"/>
    <d v="2025-11-08T00:00:00"/>
    <n v="30"/>
    <x v="0"/>
    <m/>
    <n v="-0.7142857142857143"/>
  </r>
  <r>
    <x v="1"/>
    <x v="1"/>
    <x v="2"/>
    <x v="2"/>
    <x v="1"/>
    <s v="Dep 1"/>
    <n v="400"/>
    <n v="7"/>
    <x v="2"/>
    <n v="5"/>
    <n v="5"/>
    <s v="100"/>
    <s v="100"/>
    <s v="100"/>
    <s v="PO-0003"/>
    <d v="2025-11-09T00:00:00"/>
    <n v="30"/>
    <x v="0"/>
    <m/>
    <n v="-0.7142857142857143"/>
  </r>
  <r>
    <x v="1"/>
    <x v="1"/>
    <x v="3"/>
    <x v="3"/>
    <x v="1"/>
    <s v="Dep 1"/>
    <n v="6095"/>
    <n v="7"/>
    <x v="3"/>
    <n v="5"/>
    <n v="5"/>
    <s v="100"/>
    <s v="100"/>
    <s v="100"/>
    <s v="PO-0004"/>
    <d v="2025-11-10T00:00:00"/>
    <n v="30"/>
    <x v="0"/>
    <m/>
    <n v="-0.7142857142857143"/>
  </r>
  <r>
    <x v="1"/>
    <x v="1"/>
    <x v="4"/>
    <x v="4"/>
    <x v="1"/>
    <s v="Dep 1"/>
    <n v="1080"/>
    <n v="7"/>
    <x v="4"/>
    <n v="5"/>
    <n v="5"/>
    <s v="100"/>
    <s v="100"/>
    <s v="100"/>
    <s v="PO-0005"/>
    <d v="2025-11-11T00:00:00"/>
    <n v="30"/>
    <x v="0"/>
    <m/>
    <n v="-0.7142857142857143"/>
  </r>
  <r>
    <x v="1"/>
    <x v="1"/>
    <x v="5"/>
    <x v="5"/>
    <x v="1"/>
    <s v="Dep 1"/>
    <n v="350000"/>
    <n v="15"/>
    <x v="5"/>
    <n v="5"/>
    <n v="5"/>
    <s v="100"/>
    <s v="100"/>
    <s v="100"/>
    <s v="PO-0006"/>
    <d v="2025-11-12T00:00:00"/>
    <n v="30"/>
    <x v="0"/>
    <m/>
    <n v="-0.33333333333333331"/>
  </r>
  <r>
    <x v="1"/>
    <x v="1"/>
    <x v="6"/>
    <x v="6"/>
    <x v="1"/>
    <s v="Dep 1"/>
    <n v="7750"/>
    <n v="7"/>
    <x v="6"/>
    <n v="5"/>
    <n v="5"/>
    <s v="100"/>
    <s v="100"/>
    <s v="100"/>
    <s v="PO-0007"/>
    <d v="2025-11-13T00:00:00"/>
    <n v="30"/>
    <x v="0"/>
    <m/>
    <n v="-0.7142857142857143"/>
  </r>
  <r>
    <x v="1"/>
    <x v="1"/>
    <x v="7"/>
    <x v="7"/>
    <x v="1"/>
    <s v="Dep 1"/>
    <n v="200000"/>
    <n v="15"/>
    <x v="7"/>
    <n v="5"/>
    <n v="5"/>
    <s v="100"/>
    <s v="100"/>
    <s v="100"/>
    <s v="PO-0008"/>
    <d v="2025-11-14T00:00:00"/>
    <n v="30"/>
    <x v="0"/>
    <m/>
    <n v="-0.33333333333333331"/>
  </r>
  <r>
    <x v="1"/>
    <x v="1"/>
    <x v="8"/>
    <x v="8"/>
    <x v="1"/>
    <s v="Dep 1"/>
    <n v="2000"/>
    <n v="7"/>
    <x v="8"/>
    <n v="5"/>
    <n v="5"/>
    <s v="100"/>
    <s v="100"/>
    <s v="100"/>
    <s v="PO-0009"/>
    <d v="2025-11-15T00:00:00"/>
    <n v="30"/>
    <x v="0"/>
    <m/>
    <n v="-0.7142857142857143"/>
  </r>
  <r>
    <x v="1"/>
    <x v="1"/>
    <x v="9"/>
    <x v="9"/>
    <x v="1"/>
    <s v="Dep 1"/>
    <n v="298500"/>
    <n v="15"/>
    <x v="9"/>
    <n v="5"/>
    <n v="5"/>
    <s v="100"/>
    <s v="100"/>
    <s v="100"/>
    <s v="PO-0010"/>
    <d v="2025-11-16T00:00:00"/>
    <n v="30"/>
    <x v="0"/>
    <m/>
    <n v="-0.33333333333333331"/>
  </r>
  <r>
    <x v="1"/>
    <x v="1"/>
    <x v="10"/>
    <x v="10"/>
    <x v="1"/>
    <s v="Dep 1"/>
    <n v="801"/>
    <n v="7"/>
    <x v="10"/>
    <n v="5"/>
    <n v="5"/>
    <s v="100"/>
    <s v="100"/>
    <s v="100"/>
    <s v="PO-0011"/>
    <d v="2025-11-17T00:00:00"/>
    <n v="30"/>
    <x v="0"/>
    <m/>
    <n v="-0.7142857142857143"/>
  </r>
  <r>
    <x v="1"/>
    <x v="1"/>
    <x v="11"/>
    <x v="11"/>
    <x v="1"/>
    <s v="Dep 1"/>
    <n v="266760"/>
    <n v="15"/>
    <x v="11"/>
    <n v="5"/>
    <n v="5"/>
    <s v="100"/>
    <s v="100"/>
    <s v="100"/>
    <s v="PO-0012"/>
    <d v="2025-11-18T00:00:00"/>
    <n v="30"/>
    <x v="0"/>
    <m/>
    <n v="-0.33333333333333331"/>
  </r>
  <r>
    <x v="1"/>
    <x v="1"/>
    <x v="12"/>
    <x v="12"/>
    <x v="2"/>
    <s v="Dep 1"/>
    <n v="632"/>
    <n v="7"/>
    <x v="12"/>
    <n v="5"/>
    <n v="5"/>
    <s v="100"/>
    <s v="100"/>
    <s v="100"/>
    <s v="PO-0013"/>
    <d v="2025-11-19T00:00:00"/>
    <n v="30"/>
    <x v="0"/>
    <m/>
    <n v="-0.7142857142857143"/>
  </r>
  <r>
    <x v="1"/>
    <x v="1"/>
    <x v="13"/>
    <x v="13"/>
    <x v="2"/>
    <s v="Dep 1"/>
    <n v="1725"/>
    <n v="7"/>
    <x v="13"/>
    <n v="5"/>
    <n v="5"/>
    <s v="100"/>
    <s v="100"/>
    <s v="100"/>
    <s v="PO-0014"/>
    <d v="2025-11-20T00:00:00"/>
    <n v="30"/>
    <x v="0"/>
    <m/>
    <n v="-0.7142857142857143"/>
  </r>
  <r>
    <x v="1"/>
    <x v="1"/>
    <x v="14"/>
    <x v="14"/>
    <x v="2"/>
    <s v="Dep 1"/>
    <n v="830"/>
    <n v="7"/>
    <x v="14"/>
    <n v="5"/>
    <n v="5"/>
    <s v="100"/>
    <s v="100"/>
    <s v="100"/>
    <s v="PO-0015"/>
    <d v="2025-11-21T00:00:00"/>
    <n v="30"/>
    <x v="0"/>
    <m/>
    <n v="-0.7142857142857143"/>
  </r>
  <r>
    <x v="1"/>
    <x v="1"/>
    <x v="15"/>
    <x v="15"/>
    <x v="2"/>
    <s v="Dep 1"/>
    <n v="280"/>
    <n v="7"/>
    <x v="15"/>
    <n v="5"/>
    <n v="5"/>
    <s v="100"/>
    <s v="100"/>
    <s v="100"/>
    <s v="PO-0016"/>
    <d v="2025-11-22T00:00:00"/>
    <n v="30"/>
    <x v="0"/>
    <m/>
    <n v="-0.7142857142857143"/>
  </r>
  <r>
    <x v="1"/>
    <x v="1"/>
    <x v="16"/>
    <x v="16"/>
    <x v="2"/>
    <s v="Dep 1"/>
    <n v="191"/>
    <n v="7"/>
    <x v="16"/>
    <n v="5"/>
    <n v="5"/>
    <s v="100"/>
    <s v="100"/>
    <s v="100"/>
    <s v="PO-0017"/>
    <d v="2025-11-23T00:00:00"/>
    <n v="30"/>
    <x v="0"/>
    <m/>
    <n v="-0.7142857142857143"/>
  </r>
  <r>
    <x v="1"/>
    <x v="1"/>
    <x v="17"/>
    <x v="17"/>
    <x v="2"/>
    <s v="Dep 1"/>
    <n v="2500"/>
    <n v="7"/>
    <x v="17"/>
    <n v="5"/>
    <n v="5"/>
    <s v="100"/>
    <s v="100"/>
    <s v="100"/>
    <s v="PO-0018"/>
    <d v="2025-11-24T00:00:00"/>
    <n v="30"/>
    <x v="0"/>
    <m/>
    <n v="-0.7142857142857143"/>
  </r>
  <r>
    <x v="1"/>
    <x v="1"/>
    <x v="18"/>
    <x v="18"/>
    <x v="2"/>
    <s v="Dep 1"/>
    <n v="150"/>
    <n v="7"/>
    <x v="18"/>
    <n v="5"/>
    <n v="5"/>
    <s v="100"/>
    <s v="100"/>
    <s v="100"/>
    <s v="PO-0019"/>
    <d v="2025-11-25T00:00:00"/>
    <n v="30"/>
    <x v="0"/>
    <m/>
    <n v="-0.7142857142857143"/>
  </r>
  <r>
    <x v="1"/>
    <x v="1"/>
    <x v="19"/>
    <x v="19"/>
    <x v="2"/>
    <s v="Dep 1"/>
    <n v="300"/>
    <n v="7"/>
    <x v="19"/>
    <n v="5"/>
    <n v="5"/>
    <s v="100"/>
    <s v="100"/>
    <s v="100"/>
    <s v="PO-0020"/>
    <d v="2025-11-26T00:00:00"/>
    <n v="30"/>
    <x v="0"/>
    <m/>
    <n v="-0.7142857142857143"/>
  </r>
  <r>
    <x v="1"/>
    <x v="1"/>
    <x v="20"/>
    <x v="20"/>
    <x v="2"/>
    <s v="Dep 1"/>
    <n v="450"/>
    <n v="7"/>
    <x v="20"/>
    <n v="5"/>
    <n v="5"/>
    <s v="100"/>
    <s v="100"/>
    <s v="100"/>
    <s v="PO-0021"/>
    <d v="2025-11-27T00:00:00"/>
    <n v="30"/>
    <x v="0"/>
    <m/>
    <n v="-0.7142857142857143"/>
  </r>
  <r>
    <x v="2"/>
    <x v="2"/>
    <x v="21"/>
    <x v="21"/>
    <x v="3"/>
    <s v="Dep 1"/>
    <n v="3474.15"/>
    <n v="7"/>
    <x v="21"/>
    <n v="5"/>
    <n v="5"/>
    <s v="100"/>
    <s v="100"/>
    <s v="100"/>
    <s v="PO-0022"/>
    <d v="2025-11-28T00:00:00"/>
    <n v="30"/>
    <x v="0"/>
    <m/>
    <n v="-0.7142857142857143"/>
  </r>
  <r>
    <x v="1"/>
    <x v="1"/>
    <x v="22"/>
    <x v="22"/>
    <x v="2"/>
    <s v="Dep 1"/>
    <n v="150"/>
    <n v="7"/>
    <x v="22"/>
    <n v="5"/>
    <n v="5"/>
    <s v="100"/>
    <s v="100"/>
    <s v="100"/>
    <s v="PO-0023"/>
    <d v="2025-11-29T00:00:00"/>
    <n v="30"/>
    <x v="0"/>
    <m/>
    <n v="-0.7142857142857143"/>
  </r>
  <r>
    <x v="1"/>
    <x v="1"/>
    <x v="23"/>
    <x v="23"/>
    <x v="2"/>
    <s v="Dep 1"/>
    <n v="1200"/>
    <n v="7"/>
    <x v="23"/>
    <n v="5"/>
    <n v="5"/>
    <s v="100"/>
    <s v="100"/>
    <s v="100"/>
    <s v="PO-0024"/>
    <d v="2025-11-30T00:00:00"/>
    <n v="30"/>
    <x v="0"/>
    <m/>
    <n v="-0.7142857142857143"/>
  </r>
  <r>
    <x v="1"/>
    <x v="1"/>
    <x v="24"/>
    <x v="24"/>
    <x v="2"/>
    <s v="Dep 1"/>
    <n v="500"/>
    <n v="7"/>
    <x v="24"/>
    <n v="12"/>
    <n v="12"/>
    <n v="-71.428571428571431"/>
    <n v="71.428571428571431"/>
    <s v="0"/>
    <s v="PO-0025"/>
    <d v="2025-12-08T00:00:00"/>
    <n v="30"/>
    <x v="0"/>
    <m/>
    <n v="-1.7142857142857142"/>
  </r>
  <r>
    <x v="1"/>
    <x v="1"/>
    <x v="25"/>
    <x v="25"/>
    <x v="2"/>
    <s v="Dep 1"/>
    <n v="500"/>
    <n v="7"/>
    <x v="25"/>
    <n v="12"/>
    <n v="12"/>
    <n v="-71.428571428571431"/>
    <n v="71.428571428571431"/>
    <s v="0"/>
    <s v="PO-0026"/>
    <d v="2025-12-09T00:00:00"/>
    <n v="30"/>
    <x v="0"/>
    <m/>
    <n v="-1.7142857142857142"/>
  </r>
  <r>
    <x v="2"/>
    <x v="2"/>
    <x v="26"/>
    <x v="26"/>
    <x v="3"/>
    <s v="Dep 1"/>
    <n v="1150"/>
    <n v="7"/>
    <x v="26"/>
    <n v="12"/>
    <n v="12"/>
    <n v="-71.428571428571431"/>
    <n v="71.428571428571431"/>
    <s v="0"/>
    <s v="PO-0027"/>
    <d v="2025-12-10T00:00:00"/>
    <n v="30"/>
    <x v="0"/>
    <m/>
    <n v="-1.7142857142857142"/>
  </r>
  <r>
    <x v="2"/>
    <x v="2"/>
    <x v="27"/>
    <x v="27"/>
    <x v="3"/>
    <s v="Dep 1"/>
    <n v="7300.23"/>
    <n v="7"/>
    <x v="27"/>
    <n v="12"/>
    <n v="12"/>
    <n v="-71.428571428571431"/>
    <n v="71.428571428571431"/>
    <s v="0"/>
    <s v="PO-0028"/>
    <d v="2025-12-11T00:00:00"/>
    <n v="30"/>
    <x v="0"/>
    <m/>
    <n v="-1.7142857142857142"/>
  </r>
  <r>
    <x v="2"/>
    <x v="2"/>
    <x v="28"/>
    <x v="28"/>
    <x v="3"/>
    <s v="Dep 1"/>
    <n v="156975"/>
    <n v="10"/>
    <x v="25"/>
    <n v="9"/>
    <n v="9"/>
    <n v="-20"/>
    <s v="100"/>
    <s v="100"/>
    <s v="PO-0029"/>
    <d v="2025-12-09T00:00:00"/>
    <n v="30"/>
    <x v="0"/>
    <m/>
    <n v="-0.9"/>
  </r>
  <r>
    <x v="2"/>
    <x v="2"/>
    <x v="29"/>
    <x v="0"/>
    <x v="3"/>
    <s v="Dep 1"/>
    <n v="828"/>
    <n v="7"/>
    <x v="2"/>
    <n v="7"/>
    <n v="7"/>
    <n v="-42.857142857142854"/>
    <s v="100"/>
    <s v="0"/>
    <s v="PO-0030"/>
    <d v="2025-11-09T00:00:00"/>
    <n v="30"/>
    <x v="0"/>
    <m/>
    <n v="-1"/>
  </r>
  <r>
    <x v="2"/>
    <x v="2"/>
    <x v="30"/>
    <x v="1"/>
    <x v="3"/>
    <s v="Dep 1"/>
    <n v="4191.75"/>
    <n v="7"/>
    <x v="3"/>
    <n v="7"/>
    <n v="7"/>
    <n v="-42.857142857142854"/>
    <s v="100"/>
    <s v="0"/>
    <s v="PO-0031"/>
    <d v="2025-11-10T00:00:00"/>
    <n v="30"/>
    <x v="0"/>
    <m/>
    <n v="-1"/>
  </r>
  <r>
    <x v="0"/>
    <x v="0"/>
    <x v="31"/>
    <x v="2"/>
    <x v="0"/>
    <s v="Dep 4"/>
    <n v="2265.5"/>
    <n v="7"/>
    <x v="4"/>
    <n v="7"/>
    <n v="7"/>
    <n v="-42.857142857142854"/>
    <s v="100"/>
    <s v="0"/>
    <s v="PO-0032"/>
    <d v="2025-11-11T00:00:00"/>
    <n v="30"/>
    <x v="0"/>
    <m/>
    <n v="-1"/>
  </r>
  <r>
    <x v="2"/>
    <x v="2"/>
    <x v="32"/>
    <x v="3"/>
    <x v="3"/>
    <s v="Dep 1"/>
    <n v="96600"/>
    <n v="7"/>
    <x v="5"/>
    <n v="7"/>
    <n v="7"/>
    <n v="-42.857142857142854"/>
    <s v="100"/>
    <s v="0"/>
    <s v="PO-0033"/>
    <d v="2025-11-12T00:00:00"/>
    <n v="30"/>
    <x v="0"/>
    <m/>
    <n v="-1"/>
  </r>
  <r>
    <x v="2"/>
    <x v="2"/>
    <x v="33"/>
    <x v="4"/>
    <x v="3"/>
    <s v="Dep 1"/>
    <n v="150000"/>
    <n v="15"/>
    <x v="9"/>
    <n v="10"/>
    <n v="10"/>
    <s v="100"/>
    <s v="100"/>
    <s v="100"/>
    <s v="PO-0034"/>
    <d v="2025-11-16T00:00:00"/>
    <n v="30"/>
    <x v="0"/>
    <m/>
    <n v="-0.66666666666666663"/>
  </r>
  <r>
    <x v="1"/>
    <x v="1"/>
    <x v="34"/>
    <x v="5"/>
    <x v="1"/>
    <s v="Dep 1"/>
    <n v="17400"/>
    <n v="7"/>
    <x v="10"/>
    <n v="10"/>
    <n v="10"/>
    <n v="-42.857142857142854"/>
    <n v="42.857142857142854"/>
    <s v="0"/>
    <s v="PO-0035"/>
    <d v="2025-11-17T00:00:00"/>
    <n v="30"/>
    <x v="0"/>
    <m/>
    <n v="-1.4285714285714286"/>
  </r>
  <r>
    <x v="2"/>
    <x v="2"/>
    <x v="35"/>
    <x v="6"/>
    <x v="4"/>
    <s v="Dep 1"/>
    <n v="266907.78000000003"/>
    <n v="15"/>
    <x v="11"/>
    <n v="10"/>
    <n v="10"/>
    <s v="100"/>
    <s v="100"/>
    <s v="100"/>
    <s v="PO-0036"/>
    <d v="2025-11-18T00:00:00"/>
    <n v="30"/>
    <x v="0"/>
    <m/>
    <n v="-0.66666666666666663"/>
  </r>
  <r>
    <x v="2"/>
    <x v="2"/>
    <x v="36"/>
    <x v="7"/>
    <x v="4"/>
    <s v="Dep 1"/>
    <n v="279475.88"/>
    <n v="15"/>
    <x v="12"/>
    <n v="10"/>
    <n v="10"/>
    <s v="100"/>
    <s v="100"/>
    <s v="100"/>
    <s v="PO-0037"/>
    <d v="2025-11-19T00:00:00"/>
    <n v="30"/>
    <x v="0"/>
    <m/>
    <n v="-0.66666666666666663"/>
  </r>
  <r>
    <x v="2"/>
    <x v="2"/>
    <x v="37"/>
    <x v="8"/>
    <x v="4"/>
    <s v="Dep 2 "/>
    <n v="275586"/>
    <n v="15"/>
    <x v="13"/>
    <n v="10"/>
    <n v="10"/>
    <s v="100"/>
    <s v="100"/>
    <s v="100"/>
    <s v="PO-0038"/>
    <d v="2025-11-20T00:00:00"/>
    <n v="30"/>
    <x v="0"/>
    <m/>
    <n v="-0.66666666666666663"/>
  </r>
  <r>
    <x v="2"/>
    <x v="2"/>
    <x v="38"/>
    <x v="9"/>
    <x v="4"/>
    <s v="Dep 2 "/>
    <n v="26277.5"/>
    <n v="7"/>
    <x v="10"/>
    <n v="6"/>
    <n v="6"/>
    <n v="-42.857142857142854"/>
    <s v="100"/>
    <s v="100"/>
    <s v="PO-0039"/>
    <d v="2025-11-17T00:00:00"/>
    <n v="30"/>
    <x v="0"/>
    <m/>
    <n v="-0.8571428571428571"/>
  </r>
  <r>
    <x v="2"/>
    <x v="2"/>
    <x v="39"/>
    <x v="10"/>
    <x v="4"/>
    <s v="Dep 2 "/>
    <n v="23287.5"/>
    <n v="7"/>
    <x v="11"/>
    <n v="6"/>
    <n v="6"/>
    <n v="-42.857142857142854"/>
    <s v="100"/>
    <s v="100"/>
    <s v="PO-0040"/>
    <d v="2025-11-18T00:00:00"/>
    <n v="30"/>
    <x v="0"/>
    <m/>
    <n v="-0.8571428571428571"/>
  </r>
  <r>
    <x v="2"/>
    <x v="2"/>
    <x v="40"/>
    <x v="11"/>
    <x v="4"/>
    <s v="Dep 2 "/>
    <n v="21677.5"/>
    <n v="7"/>
    <x v="12"/>
    <n v="6"/>
    <n v="6"/>
    <n v="-42.857142857142854"/>
    <s v="100"/>
    <s v="100"/>
    <s v="PO-0041"/>
    <d v="2025-11-19T00:00:00"/>
    <n v="30"/>
    <x v="0"/>
    <m/>
    <n v="-0.8571428571428571"/>
  </r>
  <r>
    <x v="1"/>
    <x v="1"/>
    <x v="41"/>
    <x v="12"/>
    <x v="1"/>
    <s v="Dep 1"/>
    <n v="1200"/>
    <n v="7"/>
    <x v="13"/>
    <n v="6"/>
    <n v="6"/>
    <n v="-42.857142857142854"/>
    <s v="100"/>
    <s v="100"/>
    <s v="PO-0042"/>
    <d v="2025-11-20T00:00:00"/>
    <n v="30"/>
    <x v="0"/>
    <m/>
    <n v="-0.8571428571428571"/>
  </r>
  <r>
    <x v="1"/>
    <x v="1"/>
    <x v="42"/>
    <x v="13"/>
    <x v="1"/>
    <s v="Dep 1"/>
    <n v="828"/>
    <n v="7"/>
    <x v="14"/>
    <n v="6"/>
    <n v="6"/>
    <n v="-42.857142857142854"/>
    <s v="100"/>
    <s v="100"/>
    <s v="PO-0043"/>
    <d v="2025-11-21T00:00:00"/>
    <n v="30"/>
    <x v="0"/>
    <m/>
    <n v="-0.8571428571428571"/>
  </r>
  <r>
    <x v="1"/>
    <x v="1"/>
    <x v="43"/>
    <x v="14"/>
    <x v="1"/>
    <s v="Dep 1"/>
    <n v="1720"/>
    <n v="7"/>
    <x v="15"/>
    <n v="6"/>
    <n v="6"/>
    <n v="-42.857142857142854"/>
    <s v="100"/>
    <s v="100"/>
    <s v="PO-0044"/>
    <d v="2025-11-22T00:00:00"/>
    <n v="30"/>
    <x v="0"/>
    <m/>
    <n v="-0.8571428571428571"/>
  </r>
  <r>
    <x v="1"/>
    <x v="1"/>
    <x v="44"/>
    <x v="15"/>
    <x v="1"/>
    <s v="Dep 1"/>
    <n v="632"/>
    <n v="7"/>
    <x v="16"/>
    <n v="6"/>
    <n v="6"/>
    <n v="-42.857142857142854"/>
    <s v="100"/>
    <s v="100"/>
    <s v="PO-0045"/>
    <d v="2025-11-23T00:00:00"/>
    <n v="30"/>
    <x v="0"/>
    <m/>
    <n v="-0.8571428571428571"/>
  </r>
  <r>
    <x v="1"/>
    <x v="1"/>
    <x v="45"/>
    <x v="16"/>
    <x v="1"/>
    <s v="Dep 1"/>
    <n v="280"/>
    <n v="7"/>
    <x v="17"/>
    <n v="6"/>
    <n v="6"/>
    <n v="-42.857142857142854"/>
    <s v="100"/>
    <s v="100"/>
    <s v="PO-0046"/>
    <d v="2025-11-24T00:00:00"/>
    <n v="30"/>
    <x v="0"/>
    <m/>
    <n v="-0.8571428571428571"/>
  </r>
  <r>
    <x v="1"/>
    <x v="1"/>
    <x v="46"/>
    <x v="17"/>
    <x v="1"/>
    <s v="Dep 1"/>
    <n v="191"/>
    <n v="7"/>
    <x v="18"/>
    <n v="6"/>
    <n v="6"/>
    <n v="-42.857142857142854"/>
    <s v="100"/>
    <s v="100"/>
    <s v="PO-0047"/>
    <d v="2025-11-25T00:00:00"/>
    <n v="30"/>
    <x v="0"/>
    <m/>
    <n v="-0.8571428571428571"/>
  </r>
  <r>
    <x v="3"/>
    <x v="1"/>
    <x v="47"/>
    <x v="18"/>
    <x v="1"/>
    <s v="Dep 1"/>
    <n v="150"/>
    <n v="7"/>
    <x v="19"/>
    <n v="6"/>
    <n v="6"/>
    <n v="-42.857142857142854"/>
    <s v="100"/>
    <s v="100"/>
    <s v="PO-0048"/>
    <d v="2025-11-26T00:00:00"/>
    <n v="30"/>
    <x v="0"/>
    <m/>
    <n v="-0.8571428571428571"/>
  </r>
  <r>
    <x v="2"/>
    <x v="2"/>
    <x v="48"/>
    <x v="19"/>
    <x v="4"/>
    <s v="Dep 2 "/>
    <n v="9297.75"/>
    <n v="7"/>
    <x v="15"/>
    <n v="1"/>
    <n v="1"/>
    <s v="100"/>
    <s v="100"/>
    <s v="100"/>
    <s v="PO-0049"/>
    <d v="2025-11-22T00:00:00"/>
    <n v="30"/>
    <x v="0"/>
    <m/>
    <n v="-0.14285714285714285"/>
  </r>
  <r>
    <x v="2"/>
    <x v="2"/>
    <x v="49"/>
    <x v="20"/>
    <x v="4"/>
    <s v="Dep 2 "/>
    <n v="22770"/>
    <n v="7"/>
    <x v="16"/>
    <n v="1"/>
    <n v="1"/>
    <s v="100"/>
    <s v="100"/>
    <s v="100"/>
    <s v="PO-0050"/>
    <d v="2025-11-23T00:00:00"/>
    <n v="30"/>
    <x v="0"/>
    <m/>
    <n v="-0.14285714285714285"/>
  </r>
  <r>
    <x v="2"/>
    <x v="2"/>
    <x v="50"/>
    <x v="21"/>
    <x v="4"/>
    <s v="Dep 2 "/>
    <n v="28799.96"/>
    <n v="7"/>
    <x v="17"/>
    <n v="1"/>
    <n v="1"/>
    <s v="100"/>
    <s v="100"/>
    <s v="100"/>
    <s v="PO-0051"/>
    <d v="2025-11-24T00:00:00"/>
    <n v="30"/>
    <x v="0"/>
    <m/>
    <n v="-0.14285714285714285"/>
  </r>
  <r>
    <x v="2"/>
    <x v="2"/>
    <x v="51"/>
    <x v="22"/>
    <x v="4"/>
    <s v="Dep 2 "/>
    <n v="20000"/>
    <n v="7"/>
    <x v="18"/>
    <n v="1"/>
    <n v="1"/>
    <s v="100"/>
    <s v="100"/>
    <s v="100"/>
    <s v="PO-0052"/>
    <d v="2025-11-25T00:00:00"/>
    <n v="30"/>
    <x v="0"/>
    <m/>
    <n v="-0.14285714285714285"/>
  </r>
  <r>
    <x v="4"/>
    <x v="2"/>
    <x v="52"/>
    <x v="23"/>
    <x v="4"/>
    <s v="Dep 2 "/>
    <n v="29000"/>
    <n v="7"/>
    <x v="19"/>
    <n v="1"/>
    <n v="1"/>
    <s v="100"/>
    <s v="100"/>
    <s v="100"/>
    <s v="PO-0053"/>
    <d v="2025-11-26T00:00:00"/>
    <n v="30"/>
    <x v="0"/>
    <m/>
    <n v="-0.14285714285714285"/>
  </r>
  <r>
    <x v="4"/>
    <x v="2"/>
    <x v="53"/>
    <x v="24"/>
    <x v="4"/>
    <s v="Dep 2 "/>
    <n v="7000"/>
    <n v="7"/>
    <x v="20"/>
    <n v="1"/>
    <n v="1"/>
    <s v="100"/>
    <s v="100"/>
    <s v="100"/>
    <s v="PO-0054"/>
    <d v="2025-11-27T00:00:00"/>
    <n v="30"/>
    <x v="0"/>
    <m/>
    <n v="-0.14285714285714285"/>
  </r>
  <r>
    <x v="4"/>
    <x v="2"/>
    <x v="54"/>
    <x v="25"/>
    <x v="4"/>
    <s v="Dep 2 "/>
    <n v="10000"/>
    <n v="7"/>
    <x v="21"/>
    <n v="1"/>
    <n v="1"/>
    <s v="100"/>
    <s v="100"/>
    <s v="100"/>
    <s v="PO-0055"/>
    <d v="2025-11-28T00:00:00"/>
    <n v="30"/>
    <x v="0"/>
    <m/>
    <n v="-0.14285714285714285"/>
  </r>
  <r>
    <x v="4"/>
    <x v="2"/>
    <x v="55"/>
    <x v="26"/>
    <x v="4"/>
    <s v="Dep 2 "/>
    <n v="75256"/>
    <n v="7"/>
    <x v="22"/>
    <n v="1"/>
    <n v="1"/>
    <s v="100"/>
    <s v="100"/>
    <s v="100"/>
    <s v="PO-0056"/>
    <d v="2025-11-29T00:00:00"/>
    <n v="30"/>
    <x v="0"/>
    <m/>
    <n v="-0.14285714285714285"/>
  </r>
  <r>
    <x v="4"/>
    <x v="2"/>
    <x v="56"/>
    <x v="27"/>
    <x v="4"/>
    <s v="Dep 2 "/>
    <n v="75256"/>
    <n v="7"/>
    <x v="23"/>
    <n v="1"/>
    <n v="1"/>
    <s v="100"/>
    <s v="100"/>
    <s v="100"/>
    <s v="PO-0057"/>
    <d v="2025-11-30T00:00:00"/>
    <n v="30"/>
    <x v="0"/>
    <m/>
    <n v="-0.14285714285714285"/>
  </r>
  <r>
    <x v="3"/>
    <x v="1"/>
    <x v="57"/>
    <x v="28"/>
    <x v="1"/>
    <s v="Dep 1"/>
    <n v="475"/>
    <n v="7"/>
    <x v="28"/>
    <n v="1"/>
    <n v="1"/>
    <s v="100"/>
    <s v="100"/>
    <s v="100"/>
    <s v="PO-0058"/>
    <d v="2025-12-01T00:00:00"/>
    <n v="30"/>
    <x v="0"/>
    <m/>
    <n v="-0.14285714285714285"/>
  </r>
  <r>
    <x v="3"/>
    <x v="1"/>
    <x v="58"/>
    <x v="0"/>
    <x v="1"/>
    <s v="Dep 1"/>
    <n v="675"/>
    <n v="7"/>
    <x v="0"/>
    <n v="5"/>
    <n v="5"/>
    <s v="100"/>
    <s v="100"/>
    <s v="100"/>
    <s v="PO-0059"/>
    <d v="2025-11-07T00:00:00"/>
    <n v="30"/>
    <x v="0"/>
    <m/>
    <n v="-0.7142857142857143"/>
  </r>
  <r>
    <x v="3"/>
    <x v="1"/>
    <x v="59"/>
    <x v="1"/>
    <x v="1"/>
    <s v="Dep 1"/>
    <n v="836"/>
    <n v="7"/>
    <x v="1"/>
    <n v="5"/>
    <n v="5"/>
    <s v="100"/>
    <s v="100"/>
    <s v="100"/>
    <s v="PO-0060"/>
    <d v="2025-11-08T00:00:00"/>
    <n v="30"/>
    <x v="0"/>
    <m/>
    <n v="-0.7142857142857143"/>
  </r>
  <r>
    <x v="3"/>
    <x v="1"/>
    <x v="60"/>
    <x v="2"/>
    <x v="1"/>
    <s v="Dep 1"/>
    <n v="232"/>
    <n v="7"/>
    <x v="2"/>
    <n v="5"/>
    <n v="5"/>
    <s v="100"/>
    <s v="100"/>
    <s v="100"/>
    <s v="PO-0061"/>
    <d v="2025-11-09T00:00:00"/>
    <n v="30"/>
    <x v="0"/>
    <m/>
    <n v="-0.7142857142857143"/>
  </r>
  <r>
    <x v="3"/>
    <x v="1"/>
    <x v="61"/>
    <x v="3"/>
    <x v="1"/>
    <s v="Dep 1"/>
    <n v="86.96"/>
    <n v="7"/>
    <x v="3"/>
    <n v="5"/>
    <n v="5"/>
    <s v="100"/>
    <s v="100"/>
    <s v="100"/>
    <s v="PO-0062"/>
    <d v="2025-11-10T00:00:00"/>
    <n v="30"/>
    <x v="0"/>
    <m/>
    <n v="-0.7142857142857143"/>
  </r>
  <r>
    <x v="3"/>
    <x v="1"/>
    <x v="62"/>
    <x v="4"/>
    <x v="1"/>
    <s v="Dep 1"/>
    <n v="304.35000000000002"/>
    <n v="7"/>
    <x v="4"/>
    <n v="5"/>
    <n v="5"/>
    <s v="100"/>
    <s v="100"/>
    <s v="100"/>
    <s v="PO-0063"/>
    <d v="2025-11-11T00:00:00"/>
    <n v="30"/>
    <x v="0"/>
    <m/>
    <n v="-0.7142857142857143"/>
  </r>
  <r>
    <x v="3"/>
    <x v="1"/>
    <x v="63"/>
    <x v="5"/>
    <x v="1"/>
    <s v="Dep 1"/>
    <n v="576"/>
    <n v="7"/>
    <x v="5"/>
    <n v="5"/>
    <n v="5"/>
    <s v="100"/>
    <s v="100"/>
    <s v="100"/>
    <s v="PO-0064"/>
    <d v="2025-11-12T00:00:00"/>
    <n v="30"/>
    <x v="0"/>
    <m/>
    <n v="-0.7142857142857143"/>
  </r>
  <r>
    <x v="3"/>
    <x v="1"/>
    <x v="64"/>
    <x v="6"/>
    <x v="1"/>
    <s v="Dep 1"/>
    <n v="1099"/>
    <n v="7"/>
    <x v="6"/>
    <n v="5"/>
    <n v="5"/>
    <s v="100"/>
    <s v="100"/>
    <s v="100"/>
    <s v="PO-0065"/>
    <d v="2025-11-13T00:00:00"/>
    <n v="30"/>
    <x v="0"/>
    <m/>
    <n v="-0.7142857142857143"/>
  </r>
  <r>
    <x v="3"/>
    <x v="1"/>
    <x v="65"/>
    <x v="7"/>
    <x v="1"/>
    <s v="Dep 1"/>
    <n v="9450"/>
    <n v="7"/>
    <x v="7"/>
    <n v="5"/>
    <n v="5"/>
    <s v="100"/>
    <s v="100"/>
    <s v="100"/>
    <s v="PO-0066"/>
    <d v="2025-11-14T00:00:00"/>
    <n v="30"/>
    <x v="0"/>
    <m/>
    <n v="-0.7142857142857143"/>
  </r>
  <r>
    <x v="3"/>
    <x v="1"/>
    <x v="66"/>
    <x v="8"/>
    <x v="1"/>
    <s v="Dep 1"/>
    <n v="2550"/>
    <n v="7"/>
    <x v="8"/>
    <n v="5"/>
    <n v="5"/>
    <s v="100"/>
    <s v="100"/>
    <s v="100"/>
    <s v="PO-0067"/>
    <d v="2025-11-15T00:00:00"/>
    <n v="30"/>
    <x v="0"/>
    <m/>
    <n v="-0.7142857142857143"/>
  </r>
  <r>
    <x v="3"/>
    <x v="1"/>
    <x v="67"/>
    <x v="9"/>
    <x v="1"/>
    <s v="Dep 1"/>
    <n v="2000"/>
    <n v="7"/>
    <x v="9"/>
    <n v="5"/>
    <n v="5"/>
    <s v="100"/>
    <s v="100"/>
    <s v="100"/>
    <s v="PO-0068"/>
    <d v="2025-11-16T00:00:00"/>
    <n v="30"/>
    <x v="0"/>
    <m/>
    <n v="-0.7142857142857143"/>
  </r>
  <r>
    <x v="3"/>
    <x v="1"/>
    <x v="68"/>
    <x v="10"/>
    <x v="1"/>
    <s v="Dep 1"/>
    <n v="28185"/>
    <n v="7"/>
    <x v="10"/>
    <n v="5"/>
    <n v="5"/>
    <s v="100"/>
    <s v="100"/>
    <s v="100"/>
    <s v="PO-0069"/>
    <d v="2025-11-17T00:00:00"/>
    <n v="30"/>
    <x v="0"/>
    <m/>
    <n v="-0.7142857142857143"/>
  </r>
  <r>
    <x v="3"/>
    <x v="1"/>
    <x v="69"/>
    <x v="11"/>
    <x v="1"/>
    <s v="Dep 1"/>
    <n v="636364.80000000005"/>
    <n v="15"/>
    <x v="11"/>
    <n v="5"/>
    <n v="5"/>
    <s v="100"/>
    <s v="100"/>
    <s v="100"/>
    <s v="PO-0070"/>
    <d v="2025-11-18T00:00:00"/>
    <n v="30"/>
    <x v="0"/>
    <m/>
    <n v="-0.33333333333333331"/>
  </r>
  <r>
    <x v="3"/>
    <x v="1"/>
    <x v="70"/>
    <x v="12"/>
    <x v="1"/>
    <s v="Dep 1"/>
    <n v="288000"/>
    <n v="15"/>
    <x v="12"/>
    <n v="5"/>
    <n v="5"/>
    <s v="100"/>
    <s v="100"/>
    <s v="100"/>
    <s v="PO-0071"/>
    <d v="2025-11-19T00:00:00"/>
    <n v="30"/>
    <x v="0"/>
    <m/>
    <n v="-0.33333333333333331"/>
  </r>
  <r>
    <x v="3"/>
    <x v="1"/>
    <x v="71"/>
    <x v="13"/>
    <x v="1"/>
    <s v="Dep 1"/>
    <n v="464184"/>
    <n v="15"/>
    <x v="13"/>
    <n v="5"/>
    <n v="5"/>
    <s v="100"/>
    <s v="100"/>
    <s v="100"/>
    <s v="PO-0072"/>
    <d v="2025-11-20T00:00:00"/>
    <n v="30"/>
    <x v="0"/>
    <m/>
    <n v="-0.33333333333333331"/>
  </r>
  <r>
    <x v="3"/>
    <x v="1"/>
    <x v="72"/>
    <x v="14"/>
    <x v="1"/>
    <s v="Dep 1"/>
    <n v="706724"/>
    <n v="15"/>
    <x v="14"/>
    <n v="5"/>
    <n v="5"/>
    <s v="100"/>
    <s v="100"/>
    <s v="100"/>
    <s v="PO-0073"/>
    <d v="2025-11-21T00:00:00"/>
    <n v="30"/>
    <x v="0"/>
    <m/>
    <n v="-0.33333333333333331"/>
  </r>
  <r>
    <x v="3"/>
    <x v="1"/>
    <x v="73"/>
    <x v="15"/>
    <x v="5"/>
    <s v="Dep 1"/>
    <n v="56000"/>
    <n v="7"/>
    <x v="11"/>
    <n v="1"/>
    <n v="1"/>
    <s v="100"/>
    <s v="100"/>
    <s v="100"/>
    <s v="PO-0074"/>
    <d v="2025-11-18T00:00:00"/>
    <n v="30"/>
    <x v="0"/>
    <m/>
    <n v="-0.14285714285714285"/>
  </r>
  <r>
    <x v="3"/>
    <x v="1"/>
    <x v="74"/>
    <x v="16"/>
    <x v="5"/>
    <s v="Dep 1"/>
    <n v="161435.85"/>
    <n v="10"/>
    <x v="12"/>
    <n v="1"/>
    <n v="1"/>
    <s v="100"/>
    <s v="100"/>
    <s v="100"/>
    <s v="PO-0075"/>
    <d v="2025-11-19T00:00:00"/>
    <n v="30"/>
    <x v="0"/>
    <m/>
    <n v="-0.1"/>
  </r>
  <r>
    <x v="4"/>
    <x v="2"/>
    <x v="75"/>
    <x v="17"/>
    <x v="4"/>
    <s v="Dep 2 "/>
    <n v="20000"/>
    <n v="7"/>
    <x v="13"/>
    <n v="1"/>
    <n v="1"/>
    <s v="100"/>
    <s v="100"/>
    <s v="100"/>
    <s v="PO-0076"/>
    <d v="2025-11-20T00:00:00"/>
    <n v="30"/>
    <x v="0"/>
    <m/>
    <n v="-0.14285714285714285"/>
  </r>
  <r>
    <x v="4"/>
    <x v="2"/>
    <x v="76"/>
    <x v="18"/>
    <x v="4"/>
    <s v="Dep 2 "/>
    <n v="40000"/>
    <n v="7"/>
    <x v="14"/>
    <n v="1"/>
    <n v="1"/>
    <s v="100"/>
    <s v="100"/>
    <s v="100"/>
    <s v="PO-0077"/>
    <d v="2025-11-21T00:00:00"/>
    <n v="30"/>
    <x v="0"/>
    <m/>
    <n v="-0.14285714285714285"/>
  </r>
  <r>
    <x v="3"/>
    <x v="1"/>
    <x v="77"/>
    <x v="19"/>
    <x v="5"/>
    <s v="Dep 1"/>
    <n v="2050"/>
    <n v="7"/>
    <x v="15"/>
    <n v="1"/>
    <n v="1"/>
    <s v="100"/>
    <s v="100"/>
    <s v="100"/>
    <s v="PO-0078"/>
    <d v="2025-11-22T00:00:00"/>
    <n v="30"/>
    <x v="0"/>
    <m/>
    <n v="-0.14285714285714285"/>
  </r>
  <r>
    <x v="0"/>
    <x v="0"/>
    <x v="78"/>
    <x v="20"/>
    <x v="0"/>
    <s v="Dep 4"/>
    <n v="2265.5"/>
    <n v="7"/>
    <x v="20"/>
    <n v="5"/>
    <n v="5"/>
    <s v="100"/>
    <s v="100"/>
    <s v="100"/>
    <s v="PO-0079"/>
    <d v="2025-11-27T00:00:00"/>
    <n v="30"/>
    <x v="0"/>
    <m/>
    <n v="-0.7142857142857143"/>
  </r>
  <r>
    <x v="0"/>
    <x v="0"/>
    <x v="79"/>
    <x v="21"/>
    <x v="0"/>
    <s v="Dep 4"/>
    <n v="1000000"/>
    <n v="15"/>
    <x v="21"/>
    <n v="5"/>
    <n v="5"/>
    <s v="100"/>
    <s v="100"/>
    <s v="100"/>
    <s v="PO-0080"/>
    <d v="2025-11-28T00:00:00"/>
    <n v="30"/>
    <x v="0"/>
    <m/>
    <n v="-0.33333333333333331"/>
  </r>
  <r>
    <x v="4"/>
    <x v="2"/>
    <x v="80"/>
    <x v="22"/>
    <x v="4"/>
    <s v="Dep 2 "/>
    <n v="15000"/>
    <n v="7"/>
    <x v="22"/>
    <n v="5"/>
    <n v="5"/>
    <s v="100"/>
    <s v="100"/>
    <s v="100"/>
    <s v="PO-0081"/>
    <d v="2025-11-29T00:00:00"/>
    <n v="30"/>
    <x v="0"/>
    <m/>
    <n v="-0.7142857142857143"/>
  </r>
  <r>
    <x v="3"/>
    <x v="1"/>
    <x v="81"/>
    <x v="23"/>
    <x v="5"/>
    <s v="Dep 1"/>
    <n v="800"/>
    <n v="7"/>
    <x v="23"/>
    <n v="5"/>
    <n v="5"/>
    <s v="100"/>
    <s v="100"/>
    <s v="100"/>
    <s v="PO-0082"/>
    <d v="2025-11-30T00:00:00"/>
    <n v="30"/>
    <x v="0"/>
    <m/>
    <n v="-0.7142857142857143"/>
  </r>
  <r>
    <x v="3"/>
    <x v="1"/>
    <x v="82"/>
    <x v="24"/>
    <x v="5"/>
    <s v="Dep 1"/>
    <n v="665"/>
    <n v="7"/>
    <x v="28"/>
    <n v="5"/>
    <n v="5"/>
    <s v="100"/>
    <s v="100"/>
    <s v="100"/>
    <s v="PO-0083"/>
    <d v="2025-12-01T00:00:00"/>
    <n v="30"/>
    <x v="0"/>
    <m/>
    <n v="-0.7142857142857143"/>
  </r>
  <r>
    <x v="0"/>
    <x v="0"/>
    <x v="83"/>
    <x v="25"/>
    <x v="0"/>
    <s v="Dep 4"/>
    <n v="49801.9"/>
    <n v="7"/>
    <x v="29"/>
    <n v="5"/>
    <n v="5"/>
    <s v="100"/>
    <s v="100"/>
    <s v="100"/>
    <s v="PO-0084"/>
    <d v="2025-12-02T00:00:00"/>
    <n v="30"/>
    <x v="0"/>
    <m/>
    <n v="-0.7142857142857143"/>
  </r>
  <r>
    <x v="3"/>
    <x v="1"/>
    <x v="84"/>
    <x v="26"/>
    <x v="5"/>
    <s v="Dep 1"/>
    <n v="1150"/>
    <n v="7"/>
    <x v="30"/>
    <n v="5"/>
    <n v="5"/>
    <s v="100"/>
    <s v="100"/>
    <s v="100"/>
    <s v="PO-0085"/>
    <d v="2025-12-03T00:00:00"/>
    <n v="30"/>
    <x v="0"/>
    <m/>
    <n v="-0.7142857142857143"/>
  </r>
  <r>
    <x v="3"/>
    <x v="1"/>
    <x v="85"/>
    <x v="27"/>
    <x v="5"/>
    <s v="Dep 1"/>
    <n v="1029.25"/>
    <n v="7"/>
    <x v="31"/>
    <n v="5"/>
    <n v="5"/>
    <s v="100"/>
    <s v="100"/>
    <s v="100"/>
    <s v="PO-0086"/>
    <d v="2025-12-04T00:00:00"/>
    <n v="30"/>
    <x v="0"/>
    <m/>
    <n v="-0.7142857142857143"/>
  </r>
  <r>
    <x v="3"/>
    <x v="1"/>
    <x v="86"/>
    <x v="28"/>
    <x v="5"/>
    <s v="Dep 1"/>
    <n v="485.85"/>
    <n v="7"/>
    <x v="28"/>
    <n v="1"/>
    <n v="1"/>
    <s v="100"/>
    <s v="100"/>
    <s v="100"/>
    <s v="PO-0087"/>
    <d v="2025-12-01T00:00:00"/>
    <n v="30"/>
    <x v="0"/>
    <m/>
    <n v="-0.14285714285714285"/>
  </r>
  <r>
    <x v="3"/>
    <x v="1"/>
    <x v="87"/>
    <x v="0"/>
    <x v="5"/>
    <s v="Dep 1"/>
    <n v="1900"/>
    <n v="7"/>
    <x v="32"/>
    <n v="3"/>
    <n v="3"/>
    <s v="100"/>
    <s v="100"/>
    <s v="100"/>
    <s v="PO-0088"/>
    <d v="2025-11-05T00:00:00"/>
    <n v="30"/>
    <x v="0"/>
    <m/>
    <n v="-0.42857142857142855"/>
  </r>
  <r>
    <x v="3"/>
    <x v="1"/>
    <x v="88"/>
    <x v="1"/>
    <x v="5"/>
    <s v="Dep 1"/>
    <n v="1052"/>
    <n v="7"/>
    <x v="33"/>
    <n v="3"/>
    <n v="3"/>
    <s v="100"/>
    <s v="100"/>
    <s v="100"/>
    <s v="PO-0089"/>
    <d v="2025-11-06T00:00:00"/>
    <n v="30"/>
    <x v="0"/>
    <m/>
    <n v="-0.42857142857142855"/>
  </r>
  <r>
    <x v="3"/>
    <x v="1"/>
    <x v="89"/>
    <x v="2"/>
    <x v="5"/>
    <s v="Dep 1"/>
    <n v="1863"/>
    <n v="7"/>
    <x v="0"/>
    <n v="3"/>
    <n v="3"/>
    <s v="100"/>
    <s v="100"/>
    <s v="100"/>
    <s v="PO-0090"/>
    <d v="2025-11-07T00:00:00"/>
    <n v="30"/>
    <x v="0"/>
    <m/>
    <n v="-0.42857142857142855"/>
  </r>
  <r>
    <x v="3"/>
    <x v="1"/>
    <x v="90"/>
    <x v="3"/>
    <x v="5"/>
    <s v="Dep 1"/>
    <n v="4550"/>
    <n v="7"/>
    <x v="1"/>
    <n v="3"/>
    <n v="3"/>
    <s v="100"/>
    <s v="100"/>
    <s v="100"/>
    <s v="PO-0091"/>
    <d v="2025-11-08T00:00:00"/>
    <n v="30"/>
    <x v="1"/>
    <m/>
    <n v="-0.42857142857142855"/>
  </r>
  <r>
    <x v="3"/>
    <x v="1"/>
    <x v="91"/>
    <x v="4"/>
    <x v="5"/>
    <s v="Dep 1"/>
    <n v="28118"/>
    <n v="7"/>
    <x v="2"/>
    <n v="3"/>
    <n v="3"/>
    <s v="100"/>
    <s v="100"/>
    <s v="100"/>
    <s v="PO-0092"/>
    <d v="2025-11-09T00:00:00"/>
    <n v="30"/>
    <x v="1"/>
    <m/>
    <n v="-0.42857142857142855"/>
  </r>
  <r>
    <x v="3"/>
    <x v="1"/>
    <x v="92"/>
    <x v="5"/>
    <x v="5"/>
    <s v="Dep 1"/>
    <n v="31450"/>
    <n v="7"/>
    <x v="3"/>
    <n v="3"/>
    <n v="3"/>
    <s v="100"/>
    <s v="100"/>
    <s v="100"/>
    <s v="PO-0093"/>
    <d v="2025-11-10T00:00:00"/>
    <n v="30"/>
    <x v="1"/>
    <m/>
    <n v="-0.42857142857142855"/>
  </r>
  <r>
    <x v="3"/>
    <x v="1"/>
    <x v="93"/>
    <x v="6"/>
    <x v="5"/>
    <s v="Dep 1"/>
    <n v="26500"/>
    <n v="7"/>
    <x v="4"/>
    <n v="3"/>
    <n v="3"/>
    <s v="100"/>
    <s v="100"/>
    <s v="100"/>
    <s v="PO-0094"/>
    <d v="2025-11-11T00:00:00"/>
    <n v="30"/>
    <x v="1"/>
    <m/>
    <n v="-0.42857142857142855"/>
  </r>
  <r>
    <x v="3"/>
    <x v="1"/>
    <x v="94"/>
    <x v="7"/>
    <x v="5"/>
    <s v="Dep 1"/>
    <n v="480"/>
    <n v="7"/>
    <x v="5"/>
    <n v="3"/>
    <n v="3"/>
    <s v="100"/>
    <s v="100"/>
    <s v="100"/>
    <s v="PO-0095"/>
    <d v="2025-11-12T00:00:00"/>
    <n v="30"/>
    <x v="1"/>
    <m/>
    <n v="-0.42857142857142855"/>
  </r>
  <r>
    <x v="3"/>
    <x v="1"/>
    <x v="95"/>
    <x v="8"/>
    <x v="5"/>
    <s v="Dep 1"/>
    <n v="235"/>
    <n v="7"/>
    <x v="6"/>
    <n v="3"/>
    <n v="3"/>
    <s v="100"/>
    <s v="100"/>
    <s v="100"/>
    <s v="PO-0096"/>
    <d v="2025-11-13T00:00:00"/>
    <n v="30"/>
    <x v="1"/>
    <m/>
    <n v="-0.42857142857142855"/>
  </r>
  <r>
    <x v="3"/>
    <x v="1"/>
    <x v="96"/>
    <x v="9"/>
    <x v="5"/>
    <s v="Dep 1"/>
    <n v="740"/>
    <n v="7"/>
    <x v="7"/>
    <n v="3"/>
    <n v="3"/>
    <s v="100"/>
    <s v="100"/>
    <s v="100"/>
    <s v="PO-0097"/>
    <d v="2025-11-14T00:00:00"/>
    <n v="30"/>
    <x v="1"/>
    <m/>
    <n v="-0.42857142857142855"/>
  </r>
  <r>
    <x v="3"/>
    <x v="1"/>
    <x v="97"/>
    <x v="10"/>
    <x v="5"/>
    <s v="Dep 1"/>
    <n v="6000"/>
    <n v="7"/>
    <x v="8"/>
    <n v="3"/>
    <n v="3"/>
    <s v="100"/>
    <s v="100"/>
    <s v="100"/>
    <s v="PO-0098"/>
    <d v="2025-11-15T00:00:00"/>
    <n v="30"/>
    <x v="1"/>
    <m/>
    <n v="-0.42857142857142855"/>
  </r>
  <r>
    <x v="4"/>
    <x v="2"/>
    <x v="98"/>
    <x v="11"/>
    <x v="4"/>
    <s v="Dep 2 "/>
    <n v="21431.4"/>
    <n v="7"/>
    <x v="9"/>
    <n v="3"/>
    <n v="3"/>
    <s v="100"/>
    <s v="100"/>
    <s v="100"/>
    <s v="PO-0099"/>
    <d v="2025-11-16T00:00:00"/>
    <n v="30"/>
    <x v="1"/>
    <m/>
    <n v="-0.42857142857142855"/>
  </r>
  <r>
    <x v="3"/>
    <x v="1"/>
    <x v="99"/>
    <x v="12"/>
    <x v="5"/>
    <s v="Dep 1"/>
    <n v="494000"/>
    <n v="15"/>
    <x v="10"/>
    <n v="3"/>
    <n v="3"/>
    <s v="100"/>
    <s v="100"/>
    <s v="100"/>
    <s v="PO-0100"/>
    <d v="2025-11-17T00:00:00"/>
    <n v="30"/>
    <x v="1"/>
    <m/>
    <n v="-0.2"/>
  </r>
  <r>
    <x v="4"/>
    <x v="2"/>
    <x v="100"/>
    <x v="13"/>
    <x v="4"/>
    <s v="Dep 2 "/>
    <n v="4500"/>
    <n v="7"/>
    <x v="11"/>
    <n v="3"/>
    <n v="3"/>
    <s v="100"/>
    <s v="100"/>
    <s v="100"/>
    <s v="PO-0101"/>
    <d v="2025-11-18T00:00:00"/>
    <n v="30"/>
    <x v="1"/>
    <m/>
    <n v="-0.42857142857142855"/>
  </r>
  <r>
    <x v="4"/>
    <x v="2"/>
    <x v="101"/>
    <x v="14"/>
    <x v="4"/>
    <s v="Dep 3"/>
    <n v="4500"/>
    <n v="7"/>
    <x v="12"/>
    <n v="3"/>
    <n v="3"/>
    <s v="100"/>
    <s v="100"/>
    <s v="100"/>
    <s v="PO-0102"/>
    <d v="2025-11-19T00:00:00"/>
    <n v="30"/>
    <x v="1"/>
    <m/>
    <n v="-0.42857142857142855"/>
  </r>
  <r>
    <x v="4"/>
    <x v="2"/>
    <x v="102"/>
    <x v="15"/>
    <x v="3"/>
    <s v="Dep 3"/>
    <n v="402.5"/>
    <n v="7"/>
    <x v="13"/>
    <n v="3"/>
    <n v="3"/>
    <s v="100"/>
    <s v="100"/>
    <s v="100"/>
    <s v="PO-0103"/>
    <d v="2025-11-20T00:00:00"/>
    <n v="30"/>
    <x v="1"/>
    <m/>
    <n v="-0.42857142857142855"/>
  </r>
  <r>
    <x v="4"/>
    <x v="2"/>
    <x v="103"/>
    <x v="16"/>
    <x v="3"/>
    <s v="Dep 3"/>
    <n v="70000"/>
    <n v="7"/>
    <x v="14"/>
    <n v="3"/>
    <n v="3"/>
    <s v="100"/>
    <s v="100"/>
    <s v="100"/>
    <s v="PO-0104"/>
    <d v="2025-11-21T00:00:00"/>
    <n v="30"/>
    <x v="1"/>
    <m/>
    <n v="-0.42857142857142855"/>
  </r>
  <r>
    <x v="3"/>
    <x v="1"/>
    <x v="104"/>
    <x v="17"/>
    <x v="5"/>
    <s v="Dep 1"/>
    <n v="420"/>
    <n v="7"/>
    <x v="15"/>
    <n v="3"/>
    <n v="3"/>
    <s v="100"/>
    <s v="100"/>
    <s v="100"/>
    <s v="PO-0105"/>
    <d v="2025-11-22T00:00:00"/>
    <n v="30"/>
    <x v="0"/>
    <m/>
    <n v="-0.42857142857142855"/>
  </r>
  <r>
    <x v="3"/>
    <x v="1"/>
    <x v="105"/>
    <x v="18"/>
    <x v="5"/>
    <s v="Dep 1"/>
    <n v="420"/>
    <n v="7"/>
    <x v="16"/>
    <n v="3"/>
    <n v="3"/>
    <s v="100"/>
    <s v="100"/>
    <s v="100"/>
    <s v="PO-0106"/>
    <d v="2025-11-23T00:00:00"/>
    <n v="30"/>
    <x v="0"/>
    <m/>
    <n v="-0.42857142857142855"/>
  </r>
  <r>
    <x v="3"/>
    <x v="1"/>
    <x v="106"/>
    <x v="19"/>
    <x v="5"/>
    <s v="Dep 1"/>
    <n v="220"/>
    <n v="7"/>
    <x v="17"/>
    <n v="3"/>
    <n v="3"/>
    <s v="100"/>
    <s v="100"/>
    <s v="100"/>
    <s v="PO-0107"/>
    <d v="2025-11-24T00:00:00"/>
    <n v="30"/>
    <x v="0"/>
    <m/>
    <n v="-0.42857142857142855"/>
  </r>
  <r>
    <x v="3"/>
    <x v="1"/>
    <x v="107"/>
    <x v="20"/>
    <x v="5"/>
    <s v="Dep 1"/>
    <n v="97"/>
    <n v="7"/>
    <x v="18"/>
    <n v="3"/>
    <n v="3"/>
    <s v="100"/>
    <s v="100"/>
    <s v="100"/>
    <s v="PO-0108"/>
    <d v="2025-11-25T00:00:00"/>
    <n v="30"/>
    <x v="1"/>
    <m/>
    <n v="-0.42857142857142855"/>
  </r>
  <r>
    <x v="3"/>
    <x v="1"/>
    <x v="108"/>
    <x v="21"/>
    <x v="5"/>
    <s v="Dep 1"/>
    <n v="426.1"/>
    <n v="7"/>
    <x v="19"/>
    <n v="3"/>
    <n v="3"/>
    <s v="100"/>
    <s v="100"/>
    <s v="100"/>
    <s v="PO-0109"/>
    <d v="2025-11-26T00:00:00"/>
    <n v="30"/>
    <x v="1"/>
    <m/>
    <n v="-0.42857142857142855"/>
  </r>
  <r>
    <x v="3"/>
    <x v="1"/>
    <x v="109"/>
    <x v="22"/>
    <x v="2"/>
    <s v="Dep 1"/>
    <n v="500"/>
    <n v="7"/>
    <x v="20"/>
    <n v="3"/>
    <n v="3"/>
    <s v="100"/>
    <s v="100"/>
    <s v="100"/>
    <s v="PO-0110"/>
    <d v="2025-11-27T00:00:00"/>
    <n v="30"/>
    <x v="1"/>
    <m/>
    <n v="-0.42857142857142855"/>
  </r>
  <r>
    <x v="3"/>
    <x v="1"/>
    <x v="110"/>
    <x v="23"/>
    <x v="2"/>
    <s v="Dep 1"/>
    <n v="1350"/>
    <n v="7"/>
    <x v="21"/>
    <n v="3"/>
    <n v="3"/>
    <s v="100"/>
    <s v="100"/>
    <s v="100"/>
    <s v="PO-0111"/>
    <d v="2025-11-28T00:00:00"/>
    <n v="30"/>
    <x v="1"/>
    <m/>
    <n v="-0.42857142857142855"/>
  </r>
  <r>
    <x v="3"/>
    <x v="1"/>
    <x v="111"/>
    <x v="24"/>
    <x v="2"/>
    <s v="Dep 1"/>
    <n v="50"/>
    <n v="7"/>
    <x v="22"/>
    <n v="3"/>
    <n v="3"/>
    <s v="100"/>
    <s v="100"/>
    <s v="100"/>
    <s v="PO-0112"/>
    <d v="2025-11-29T00:00:00"/>
    <n v="30"/>
    <x v="1"/>
    <m/>
    <n v="-0.42857142857142855"/>
  </r>
  <r>
    <x v="3"/>
    <x v="1"/>
    <x v="112"/>
    <x v="25"/>
    <x v="2"/>
    <s v="Dep 1"/>
    <n v="4260"/>
    <n v="7"/>
    <x v="23"/>
    <n v="3"/>
    <n v="3"/>
    <s v="100"/>
    <s v="100"/>
    <s v="100"/>
    <s v="PO-0113"/>
    <d v="2025-11-30T00:00:00"/>
    <n v="30"/>
    <x v="1"/>
    <m/>
    <n v="-0.42857142857142855"/>
  </r>
  <r>
    <x v="3"/>
    <x v="1"/>
    <x v="113"/>
    <x v="26"/>
    <x v="2"/>
    <s v="Dep 1"/>
    <n v="3220"/>
    <n v="7"/>
    <x v="28"/>
    <n v="3"/>
    <n v="3"/>
    <s v="100"/>
    <s v="100"/>
    <s v="100"/>
    <s v="PO-0114"/>
    <d v="2025-12-01T00:00:00"/>
    <n v="30"/>
    <x v="1"/>
    <m/>
    <n v="-0.42857142857142855"/>
  </r>
  <r>
    <x v="3"/>
    <x v="1"/>
    <x v="114"/>
    <x v="27"/>
    <x v="2"/>
    <s v="Dep 1"/>
    <n v="1380"/>
    <n v="7"/>
    <x v="29"/>
    <n v="3"/>
    <n v="3"/>
    <s v="100"/>
    <s v="100"/>
    <s v="100"/>
    <s v="PO-0115"/>
    <d v="2025-12-02T00:00:00"/>
    <n v="30"/>
    <x v="1"/>
    <m/>
    <n v="-0.42857142857142855"/>
  </r>
  <r>
    <x v="3"/>
    <x v="1"/>
    <x v="115"/>
    <x v="28"/>
    <x v="5"/>
    <s v="Dep 1"/>
    <n v="38700"/>
    <n v="7"/>
    <x v="30"/>
    <n v="3"/>
    <n v="3"/>
    <s v="100"/>
    <s v="100"/>
    <s v="100"/>
    <s v="PO-0116"/>
    <d v="2025-12-03T00:00:00"/>
    <n v="30"/>
    <x v="1"/>
    <m/>
    <n v="-0.42857142857142855"/>
  </r>
  <r>
    <x v="3"/>
    <x v="1"/>
    <x v="116"/>
    <x v="0"/>
    <x v="5"/>
    <s v="Dep 1"/>
    <n v="2660.4"/>
    <n v="7"/>
    <x v="0"/>
    <n v="5"/>
    <n v="5"/>
    <s v="100"/>
    <s v="100"/>
    <s v="100"/>
    <s v="PO-0117"/>
    <d v="2025-11-07T00:00:00"/>
    <n v="30"/>
    <x v="1"/>
    <m/>
    <n v="-0.7142857142857143"/>
  </r>
  <r>
    <x v="0"/>
    <x v="0"/>
    <x v="117"/>
    <x v="1"/>
    <x v="6"/>
    <s v="Dep 4"/>
    <n v="1109.06"/>
    <n v="7"/>
    <x v="1"/>
    <n v="5"/>
    <n v="5"/>
    <s v="100"/>
    <s v="100"/>
    <s v="100"/>
    <s v="PO-0118"/>
    <d v="2025-11-08T00:00:00"/>
    <n v="30"/>
    <x v="1"/>
    <m/>
    <m/>
  </r>
  <r>
    <x v="0"/>
    <x v="0"/>
    <x v="118"/>
    <x v="2"/>
    <x v="6"/>
    <s v="Dep 4"/>
    <n v="1109.06"/>
    <n v="7"/>
    <x v="2"/>
    <n v="5"/>
    <n v="5"/>
    <s v="100"/>
    <s v="100"/>
    <s v="100"/>
    <s v="PO-0119"/>
    <d v="2025-11-09T00:00:00"/>
    <n v="30"/>
    <x v="0"/>
    <m/>
    <m/>
  </r>
  <r>
    <x v="0"/>
    <x v="0"/>
    <x v="119"/>
    <x v="3"/>
    <x v="6"/>
    <s v="Dep 4"/>
    <n v="42780"/>
    <n v="7"/>
    <x v="3"/>
    <n v="5"/>
    <n v="5"/>
    <s v="100"/>
    <s v="100"/>
    <s v="100"/>
    <s v="PO-0120"/>
    <d v="2025-11-10T00:00:00"/>
    <n v="30"/>
    <x v="1"/>
    <m/>
    <m/>
  </r>
  <r>
    <x v="3"/>
    <x v="1"/>
    <x v="120"/>
    <x v="4"/>
    <x v="5"/>
    <s v="Dep 1"/>
    <n v="78649.5"/>
    <n v="7"/>
    <x v="4"/>
    <n v="5"/>
    <n v="5"/>
    <s v="100"/>
    <s v="100"/>
    <s v="100"/>
    <s v="PO-0121"/>
    <d v="2025-11-11T00:00:00"/>
    <n v="30"/>
    <x v="1"/>
    <m/>
    <m/>
  </r>
  <r>
    <x v="3"/>
    <x v="1"/>
    <x v="121"/>
    <x v="5"/>
    <x v="5"/>
    <s v="Dep 1"/>
    <n v="300.14999999999998"/>
    <n v="7"/>
    <x v="5"/>
    <n v="5"/>
    <n v="5"/>
    <s v="100"/>
    <s v="100"/>
    <s v="100"/>
    <s v="PO-0122"/>
    <d v="2025-11-12T00:00:00"/>
    <n v="30"/>
    <x v="1"/>
    <m/>
    <m/>
  </r>
  <r>
    <x v="0"/>
    <x v="0"/>
    <x v="122"/>
    <x v="6"/>
    <x v="6"/>
    <s v="Dep 4"/>
    <n v="1890"/>
    <n v="7"/>
    <x v="6"/>
    <n v="5"/>
    <n v="5"/>
    <s v="100"/>
    <s v="100"/>
    <s v="100"/>
    <s v="PO-0123"/>
    <d v="2025-11-13T00:00:00"/>
    <n v="30"/>
    <x v="1"/>
    <m/>
    <m/>
  </r>
  <r>
    <x v="3"/>
    <x v="1"/>
    <x v="123"/>
    <x v="7"/>
    <x v="5"/>
    <s v="Dep 1"/>
    <n v="300.14999999999998"/>
    <n v="7"/>
    <x v="7"/>
    <n v="5"/>
    <n v="5"/>
    <s v="100"/>
    <s v="100"/>
    <s v="100"/>
    <s v="PO-0124"/>
    <d v="2025-11-14T00:00:00"/>
    <n v="30"/>
    <x v="1"/>
    <m/>
    <m/>
  </r>
  <r>
    <x v="3"/>
    <x v="1"/>
    <x v="124"/>
    <x v="8"/>
    <x v="5"/>
    <s v="Dep 1"/>
    <n v="2610.5"/>
    <n v="7"/>
    <x v="4"/>
    <n v="1"/>
    <n v="1"/>
    <s v="100"/>
    <s v="100"/>
    <s v="100"/>
    <s v="PO-0125"/>
    <d v="2025-11-11T00:00:00"/>
    <n v="30"/>
    <x v="1"/>
    <m/>
    <m/>
  </r>
  <r>
    <x v="3"/>
    <x v="1"/>
    <x v="125"/>
    <x v="9"/>
    <x v="5"/>
    <s v="Dep 1"/>
    <n v="1150"/>
    <n v="7"/>
    <x v="5"/>
    <n v="1"/>
    <n v="1"/>
    <s v="100"/>
    <s v="100"/>
    <s v="100"/>
    <s v="PO-0126"/>
    <d v="2025-11-12T00:00:00"/>
    <n v="30"/>
    <x v="1"/>
    <m/>
    <m/>
  </r>
  <r>
    <x v="3"/>
    <x v="1"/>
    <x v="126"/>
    <x v="10"/>
    <x v="5"/>
    <s v="Dep 1"/>
    <n v="690"/>
    <n v="7"/>
    <x v="6"/>
    <n v="1"/>
    <n v="1"/>
    <s v="100"/>
    <s v="100"/>
    <s v="100"/>
    <s v="PO-0127"/>
    <d v="2025-11-13T00:00:00"/>
    <n v="30"/>
    <x v="1"/>
    <m/>
    <m/>
  </r>
  <r>
    <x v="3"/>
    <x v="1"/>
    <x v="127"/>
    <x v="11"/>
    <x v="5"/>
    <s v="Dep 1"/>
    <n v="38700"/>
    <n v="7"/>
    <x v="7"/>
    <n v="1"/>
    <n v="1"/>
    <s v="100"/>
    <s v="100"/>
    <s v="100"/>
    <s v="PO-0128"/>
    <d v="2025-11-14T00:00:00"/>
    <n v="30"/>
    <x v="1"/>
    <m/>
    <m/>
  </r>
  <r>
    <x v="3"/>
    <x v="1"/>
    <x v="128"/>
    <x v="12"/>
    <x v="5"/>
    <s v="Dep 1"/>
    <n v="46800"/>
    <n v="7"/>
    <x v="8"/>
    <n v="1"/>
    <n v="1"/>
    <s v="100"/>
    <s v="100"/>
    <s v="100"/>
    <s v="PO-0129"/>
    <d v="2025-11-15T00:00:00"/>
    <n v="30"/>
    <x v="1"/>
    <m/>
    <m/>
  </r>
  <r>
    <x v="3"/>
    <x v="1"/>
    <x v="129"/>
    <x v="13"/>
    <x v="5"/>
    <s v="Dep 1"/>
    <n v="6500"/>
    <n v="7"/>
    <x v="9"/>
    <n v="1"/>
    <n v="1"/>
    <s v="100"/>
    <s v="100"/>
    <s v="100"/>
    <s v="PO-0130"/>
    <d v="2025-11-16T00:00:00"/>
    <n v="30"/>
    <x v="1"/>
    <m/>
    <m/>
  </r>
  <r>
    <x v="3"/>
    <x v="1"/>
    <x v="130"/>
    <x v="14"/>
    <x v="5"/>
    <s v="Dep 1"/>
    <n v="18100"/>
    <n v="7"/>
    <x v="10"/>
    <n v="1"/>
    <n v="1"/>
    <s v="100"/>
    <s v="100"/>
    <s v="100"/>
    <s v="PO-0131"/>
    <d v="2025-11-17T00:00:00"/>
    <n v="30"/>
    <x v="1"/>
    <m/>
    <m/>
  </r>
  <r>
    <x v="3"/>
    <x v="1"/>
    <x v="131"/>
    <x v="15"/>
    <x v="5"/>
    <s v="Dep 1"/>
    <n v="11608"/>
    <n v="7"/>
    <x v="11"/>
    <n v="1"/>
    <n v="1"/>
    <s v="100"/>
    <s v="100"/>
    <s v="100"/>
    <s v="PO-0132"/>
    <d v="2025-11-18T00:00:00"/>
    <n v="30"/>
    <x v="1"/>
    <m/>
    <m/>
  </r>
  <r>
    <x v="3"/>
    <x v="1"/>
    <x v="132"/>
    <x v="16"/>
    <x v="5"/>
    <s v="Dep 1"/>
    <n v="1058"/>
    <n v="7"/>
    <x v="12"/>
    <n v="1"/>
    <n v="1"/>
    <s v="100"/>
    <s v="100"/>
    <s v="100"/>
    <s v="PO-0133"/>
    <d v="2025-11-19T00:00:00"/>
    <n v="30"/>
    <x v="1"/>
    <m/>
    <m/>
  </r>
  <r>
    <x v="3"/>
    <x v="1"/>
    <x v="133"/>
    <x v="17"/>
    <x v="5"/>
    <s v="Dep 1"/>
    <n v="7350"/>
    <n v="7"/>
    <x v="13"/>
    <n v="1"/>
    <n v="1"/>
    <s v="100"/>
    <s v="100"/>
    <s v="100"/>
    <s v="PO-0134"/>
    <d v="2025-11-20T00:00:00"/>
    <n v="30"/>
    <x v="1"/>
    <m/>
    <m/>
  </r>
  <r>
    <x v="3"/>
    <x v="1"/>
    <x v="134"/>
    <x v="18"/>
    <x v="1"/>
    <s v="Dep 1"/>
    <n v="1121.5"/>
    <n v="7"/>
    <x v="14"/>
    <n v="1"/>
    <n v="1"/>
    <s v="100"/>
    <s v="100"/>
    <s v="100"/>
    <s v="PO-0135"/>
    <d v="2025-11-21T00:00:00"/>
    <n v="30"/>
    <x v="1"/>
    <m/>
    <m/>
  </r>
  <r>
    <x v="3"/>
    <x v="1"/>
    <x v="135"/>
    <x v="19"/>
    <x v="1"/>
    <s v="Dep 1"/>
    <n v="69"/>
    <n v="7"/>
    <x v="15"/>
    <n v="1"/>
    <n v="1"/>
    <s v="100"/>
    <s v="100"/>
    <s v="100"/>
    <s v="PO-0136"/>
    <d v="2025-11-22T00:00:00"/>
    <n v="30"/>
    <x v="1"/>
    <m/>
    <m/>
  </r>
  <r>
    <x v="3"/>
    <x v="1"/>
    <x v="136"/>
    <x v="20"/>
    <x v="1"/>
    <s v="Dep 1"/>
    <n v="5405"/>
    <n v="7"/>
    <x v="16"/>
    <n v="1"/>
    <n v="1"/>
    <s v="100"/>
    <s v="100"/>
    <s v="100"/>
    <s v="PO-0137"/>
    <d v="2025-11-23T00:00:00"/>
    <n v="30"/>
    <x v="1"/>
    <m/>
    <m/>
  </r>
  <r>
    <x v="4"/>
    <x v="2"/>
    <x v="137"/>
    <x v="21"/>
    <x v="3"/>
    <s v="Dep 3"/>
    <n v="9039"/>
    <n v="7"/>
    <x v="17"/>
    <n v="1"/>
    <n v="1"/>
    <s v="100"/>
    <s v="100"/>
    <s v="100"/>
    <s v="PO-0138"/>
    <d v="2025-11-24T00:00:00"/>
    <n v="30"/>
    <x v="1"/>
    <m/>
    <m/>
  </r>
  <r>
    <x v="4"/>
    <x v="2"/>
    <x v="138"/>
    <x v="22"/>
    <x v="3"/>
    <s v="Dep 3"/>
    <n v="12305"/>
    <n v="7"/>
    <x v="18"/>
    <n v="1"/>
    <n v="1"/>
    <s v="100"/>
    <s v="100"/>
    <s v="100"/>
    <s v="PO-0139"/>
    <d v="2025-11-25T00:00:00"/>
    <n v="30"/>
    <x v="1"/>
    <m/>
    <m/>
  </r>
  <r>
    <x v="4"/>
    <x v="2"/>
    <x v="139"/>
    <x v="23"/>
    <x v="3"/>
    <s v="Dep 3"/>
    <n v="8517.89"/>
    <n v="7"/>
    <x v="19"/>
    <n v="1"/>
    <n v="1"/>
    <s v="100"/>
    <s v="100"/>
    <s v="100"/>
    <s v="PO-0140"/>
    <d v="2025-11-26T00:00:00"/>
    <n v="30"/>
    <x v="1"/>
    <m/>
    <m/>
  </r>
  <r>
    <x v="4"/>
    <x v="2"/>
    <x v="140"/>
    <x v="24"/>
    <x v="3"/>
    <s v="Dep 3"/>
    <n v="9200"/>
    <n v="7"/>
    <x v="20"/>
    <n v="1"/>
    <n v="1"/>
    <s v="100"/>
    <s v="100"/>
    <s v="100"/>
    <s v="PO-0141"/>
    <d v="2025-11-27T00:00:00"/>
    <n v="30"/>
    <x v="1"/>
    <m/>
    <m/>
  </r>
  <r>
    <x v="4"/>
    <x v="2"/>
    <x v="141"/>
    <x v="25"/>
    <x v="3"/>
    <s v="Dep 3"/>
    <n v="12880"/>
    <n v="7"/>
    <x v="21"/>
    <n v="1"/>
    <n v="1"/>
    <s v="100"/>
    <s v="100"/>
    <s v="100"/>
    <s v="PO-0142"/>
    <d v="2025-11-28T00:00:00"/>
    <n v="30"/>
    <x v="1"/>
    <m/>
    <m/>
  </r>
  <r>
    <x v="4"/>
    <x v="2"/>
    <x v="142"/>
    <x v="26"/>
    <x v="3"/>
    <s v="Dep 3"/>
    <n v="7360"/>
    <n v="7"/>
    <x v="22"/>
    <n v="1"/>
    <n v="1"/>
    <s v="100"/>
    <s v="100"/>
    <s v="100"/>
    <s v="PO-0143"/>
    <d v="2025-11-29T00:00:00"/>
    <n v="30"/>
    <x v="1"/>
    <m/>
    <m/>
  </r>
  <r>
    <x v="4"/>
    <x v="2"/>
    <x v="143"/>
    <x v="27"/>
    <x v="3"/>
    <s v="Dep 3"/>
    <n v="12880"/>
    <n v="7"/>
    <x v="23"/>
    <n v="1"/>
    <n v="1"/>
    <s v="100"/>
    <s v="100"/>
    <s v="100"/>
    <s v="PO-0144"/>
    <d v="2025-11-30T00:00:00"/>
    <n v="30"/>
    <x v="1"/>
    <m/>
    <m/>
  </r>
  <r>
    <x v="4"/>
    <x v="2"/>
    <x v="144"/>
    <x v="28"/>
    <x v="3"/>
    <s v="Dep 3"/>
    <n v="140000"/>
    <n v="10"/>
    <x v="29"/>
    <n v="2"/>
    <n v="2"/>
    <s v="100"/>
    <s v="100"/>
    <s v="100"/>
    <s v="PO-0145"/>
    <d v="2025-12-02T00:00:00"/>
    <n v="30"/>
    <x v="1"/>
    <m/>
    <m/>
  </r>
  <r>
    <x v="5"/>
    <x v="0"/>
    <x v="145"/>
    <x v="0"/>
    <x v="6"/>
    <s v="Dep 4"/>
    <n v="1890"/>
    <n v="7"/>
    <x v="1"/>
    <n v="6"/>
    <n v="6"/>
    <s v="100"/>
    <s v="100"/>
    <s v="100"/>
    <s v="PO-0146"/>
    <d v="2025-11-08T00:00:00"/>
    <n v="30"/>
    <x v="1"/>
    <m/>
    <m/>
  </r>
  <r>
    <x v="3"/>
    <x v="1"/>
    <x v="146"/>
    <x v="1"/>
    <x v="1"/>
    <s v="Dep 1"/>
    <n v="140"/>
    <n v="7"/>
    <x v="2"/>
    <n v="6"/>
    <n v="6"/>
    <s v="100"/>
    <s v="100"/>
    <s v="100"/>
    <s v="PO-0147"/>
    <d v="2025-11-09T00:00:00"/>
    <n v="30"/>
    <x v="1"/>
    <m/>
    <m/>
  </r>
  <r>
    <x v="4"/>
    <x v="2"/>
    <x v="147"/>
    <x v="2"/>
    <x v="3"/>
    <s v="Dep 3"/>
    <n v="25300"/>
    <n v="7"/>
    <x v="3"/>
    <n v="6"/>
    <n v="6"/>
    <s v="100"/>
    <s v="100"/>
    <s v="100"/>
    <s v="PO-0148"/>
    <d v="2025-11-10T00:00:00"/>
    <n v="30"/>
    <x v="1"/>
    <m/>
    <m/>
  </r>
  <r>
    <x v="3"/>
    <x v="1"/>
    <x v="148"/>
    <x v="3"/>
    <x v="1"/>
    <s v="Dep 1"/>
    <n v="15000"/>
    <n v="7"/>
    <x v="4"/>
    <n v="6"/>
    <n v="6"/>
    <s v="100"/>
    <s v="100"/>
    <s v="100"/>
    <s v="PO-0149"/>
    <d v="2025-11-11T00:00:00"/>
    <n v="30"/>
    <x v="1"/>
    <m/>
    <m/>
  </r>
  <r>
    <x v="3"/>
    <x v="1"/>
    <x v="149"/>
    <x v="4"/>
    <x v="5"/>
    <s v="Dep 1"/>
    <n v="1575"/>
    <n v="7"/>
    <x v="5"/>
    <n v="6"/>
    <n v="6"/>
    <s v="100"/>
    <s v="100"/>
    <s v="100"/>
    <s v="PO-0150"/>
    <d v="2025-11-12T00:00:00"/>
    <n v="30"/>
    <x v="1"/>
    <m/>
    <m/>
  </r>
  <r>
    <x v="6"/>
    <x v="1"/>
    <x v="150"/>
    <x v="5"/>
    <x v="5"/>
    <s v="Dep 1"/>
    <n v="70000"/>
    <n v="7"/>
    <x v="6"/>
    <n v="6"/>
    <n v="6"/>
    <s v="100"/>
    <s v="100"/>
    <s v="100"/>
    <s v="PO-0151"/>
    <d v="2025-11-13T00:00:00"/>
    <n v="30"/>
    <x v="1"/>
    <m/>
    <m/>
  </r>
  <r>
    <x v="6"/>
    <x v="1"/>
    <x v="151"/>
    <x v="6"/>
    <x v="5"/>
    <s v="Dep 1"/>
    <n v="70000"/>
    <n v="7"/>
    <x v="7"/>
    <n v="6"/>
    <n v="6"/>
    <s v="100"/>
    <s v="100"/>
    <s v="100"/>
    <s v="PO-0152"/>
    <d v="2025-11-14T00:00:00"/>
    <n v="30"/>
    <x v="1"/>
    <m/>
    <m/>
  </r>
  <r>
    <x v="6"/>
    <x v="1"/>
    <x v="152"/>
    <x v="7"/>
    <x v="5"/>
    <s v="Dep 1"/>
    <n v="70000"/>
    <n v="7"/>
    <x v="8"/>
    <n v="6"/>
    <n v="6"/>
    <s v="100"/>
    <s v="100"/>
    <s v="100"/>
    <s v="PO-0153"/>
    <d v="2025-11-15T00:00:00"/>
    <n v="30"/>
    <x v="1"/>
    <m/>
    <m/>
  </r>
  <r>
    <x v="6"/>
    <x v="1"/>
    <x v="153"/>
    <x v="8"/>
    <x v="5"/>
    <s v="Dep 1"/>
    <n v="70000"/>
    <n v="7"/>
    <x v="9"/>
    <n v="6"/>
    <n v="6"/>
    <s v="100"/>
    <s v="100"/>
    <s v="100"/>
    <s v="PO-0154"/>
    <d v="2025-11-16T00:00:00"/>
    <n v="30"/>
    <x v="1"/>
    <m/>
    <m/>
  </r>
  <r>
    <x v="6"/>
    <x v="1"/>
    <x v="154"/>
    <x v="9"/>
    <x v="5"/>
    <s v="Dep 1"/>
    <n v="70000"/>
    <n v="7"/>
    <x v="10"/>
    <n v="6"/>
    <n v="6"/>
    <s v="100"/>
    <s v="100"/>
    <s v="100"/>
    <s v="PO-0155"/>
    <d v="2025-11-17T00:00:00"/>
    <n v="30"/>
    <x v="1"/>
    <m/>
    <m/>
  </r>
  <r>
    <x v="6"/>
    <x v="1"/>
    <x v="155"/>
    <x v="10"/>
    <x v="5"/>
    <s v="Dep 1"/>
    <n v="70000"/>
    <n v="7"/>
    <x v="11"/>
    <n v="6"/>
    <n v="6"/>
    <s v="100"/>
    <s v="100"/>
    <s v="100"/>
    <s v="PO-0156"/>
    <d v="2025-11-18T00:00:00"/>
    <n v="30"/>
    <x v="1"/>
    <m/>
    <m/>
  </r>
  <r>
    <x v="6"/>
    <x v="1"/>
    <x v="156"/>
    <x v="11"/>
    <x v="5"/>
    <s v="Dep 1"/>
    <n v="70000"/>
    <n v="7"/>
    <x v="12"/>
    <n v="6"/>
    <n v="6"/>
    <s v="100"/>
    <s v="100"/>
    <s v="100"/>
    <s v="PO-0157"/>
    <d v="2025-11-19T00:00:00"/>
    <n v="30"/>
    <x v="1"/>
    <m/>
    <m/>
  </r>
  <r>
    <x v="6"/>
    <x v="1"/>
    <x v="157"/>
    <x v="12"/>
    <x v="5"/>
    <s v="Dep 1"/>
    <n v="70000"/>
    <n v="7"/>
    <x v="13"/>
    <n v="6"/>
    <n v="6"/>
    <s v="100"/>
    <s v="100"/>
    <s v="100"/>
    <s v="PO-0158"/>
    <d v="2025-11-20T00:00:00"/>
    <n v="30"/>
    <x v="1"/>
    <m/>
    <m/>
  </r>
  <r>
    <x v="6"/>
    <x v="1"/>
    <x v="158"/>
    <x v="13"/>
    <x v="5"/>
    <s v="Dep 1"/>
    <n v="70000"/>
    <n v="7"/>
    <x v="14"/>
    <n v="6"/>
    <n v="6"/>
    <s v="100"/>
    <s v="100"/>
    <s v="100"/>
    <s v="PO-0159"/>
    <d v="2025-11-21T00:00:00"/>
    <n v="30"/>
    <x v="1"/>
    <m/>
    <m/>
  </r>
  <r>
    <x v="6"/>
    <x v="1"/>
    <x v="159"/>
    <x v="14"/>
    <x v="5"/>
    <s v="Dep 1"/>
    <n v="70000"/>
    <n v="7"/>
    <x v="15"/>
    <n v="6"/>
    <n v="6"/>
    <s v="100"/>
    <s v="100"/>
    <s v="100"/>
    <s v="PO-0160"/>
    <d v="2025-11-22T00:00:00"/>
    <n v="30"/>
    <x v="1"/>
    <m/>
    <m/>
  </r>
  <r>
    <x v="6"/>
    <x v="1"/>
    <x v="160"/>
    <x v="15"/>
    <x v="5"/>
    <s v="Dep 1"/>
    <n v="70000"/>
    <n v="7"/>
    <x v="16"/>
    <n v="6"/>
    <n v="6"/>
    <s v="100"/>
    <s v="100"/>
    <s v="100"/>
    <s v="PO-0161"/>
    <d v="2025-11-23T00:00:00"/>
    <n v="30"/>
    <x v="1"/>
    <m/>
    <m/>
  </r>
  <r>
    <x v="6"/>
    <x v="1"/>
    <x v="161"/>
    <x v="16"/>
    <x v="5"/>
    <s v="Dep 1"/>
    <n v="70000"/>
    <n v="7"/>
    <x v="17"/>
    <n v="6"/>
    <n v="6"/>
    <s v="100"/>
    <s v="100"/>
    <s v="100"/>
    <s v="PO-0162"/>
    <d v="2025-11-24T00:00:00"/>
    <n v="30"/>
    <x v="1"/>
    <m/>
    <m/>
  </r>
  <r>
    <x v="6"/>
    <x v="1"/>
    <x v="162"/>
    <x v="17"/>
    <x v="5"/>
    <s v="Dep 1"/>
    <n v="70000"/>
    <n v="7"/>
    <x v="18"/>
    <n v="6"/>
    <n v="6"/>
    <s v="100"/>
    <s v="100"/>
    <s v="100"/>
    <s v="PO-0163"/>
    <d v="2025-11-25T00:00:00"/>
    <n v="30"/>
    <x v="1"/>
    <m/>
    <m/>
  </r>
  <r>
    <x v="6"/>
    <x v="1"/>
    <x v="163"/>
    <x v="18"/>
    <x v="5"/>
    <s v="Dep 1"/>
    <n v="70000"/>
    <n v="7"/>
    <x v="19"/>
    <n v="6"/>
    <n v="6"/>
    <s v="100"/>
    <s v="100"/>
    <s v="100"/>
    <s v="PO-0164"/>
    <d v="2025-11-26T00:00:00"/>
    <n v="30"/>
    <x v="1"/>
    <m/>
    <m/>
  </r>
  <r>
    <x v="6"/>
    <x v="1"/>
    <x v="164"/>
    <x v="19"/>
    <x v="2"/>
    <s v="Dep 1"/>
    <n v="70000"/>
    <n v="7"/>
    <x v="20"/>
    <n v="6"/>
    <n v="6"/>
    <s v="100"/>
    <s v="100"/>
    <s v="100"/>
    <s v="PO-0165"/>
    <d v="2025-11-27T00:00:00"/>
    <n v="30"/>
    <x v="1"/>
    <m/>
    <m/>
  </r>
  <r>
    <x v="6"/>
    <x v="1"/>
    <x v="165"/>
    <x v="20"/>
    <x v="2"/>
    <s v="Dep 1"/>
    <n v="70000"/>
    <n v="7"/>
    <x v="21"/>
    <n v="6"/>
    <n v="6"/>
    <s v="100"/>
    <s v="100"/>
    <s v="100"/>
    <s v="PO-0166"/>
    <d v="2025-11-28T00:00:00"/>
    <n v="30"/>
    <x v="1"/>
    <m/>
    <m/>
  </r>
  <r>
    <x v="6"/>
    <x v="1"/>
    <x v="166"/>
    <x v="21"/>
    <x v="2"/>
    <s v="Dep 1"/>
    <n v="70000"/>
    <n v="7"/>
    <x v="22"/>
    <n v="6"/>
    <n v="6"/>
    <s v="100"/>
    <s v="100"/>
    <s v="100"/>
    <s v="PO-0167"/>
    <d v="2025-11-29T00:00:00"/>
    <n v="30"/>
    <x v="1"/>
    <m/>
    <m/>
  </r>
  <r>
    <x v="6"/>
    <x v="1"/>
    <x v="167"/>
    <x v="22"/>
    <x v="2"/>
    <s v="Dep 1"/>
    <n v="70000"/>
    <n v="7"/>
    <x v="23"/>
    <n v="6"/>
    <n v="6"/>
    <s v="100"/>
    <s v="100"/>
    <s v="100"/>
    <s v="PO-0168"/>
    <d v="2025-11-30T00:00:00"/>
    <n v="30"/>
    <x v="1"/>
    <m/>
    <m/>
  </r>
  <r>
    <x v="6"/>
    <x v="1"/>
    <x v="168"/>
    <x v="23"/>
    <x v="2"/>
    <s v="Dep 1"/>
    <n v="70000"/>
    <n v="7"/>
    <x v="21"/>
    <n v="3"/>
    <n v="3"/>
    <s v="100"/>
    <s v="100"/>
    <s v="100"/>
    <s v="PO-0169"/>
    <d v="2025-11-28T00:00:00"/>
    <n v="30"/>
    <x v="1"/>
    <m/>
    <m/>
  </r>
  <r>
    <x v="6"/>
    <x v="1"/>
    <x v="169"/>
    <x v="24"/>
    <x v="2"/>
    <s v="Dep 1"/>
    <n v="70000"/>
    <n v="7"/>
    <x v="22"/>
    <n v="3"/>
    <n v="3"/>
    <s v="100"/>
    <s v="100"/>
    <s v="100"/>
    <s v="PO-0170"/>
    <d v="2025-11-29T00:00:00"/>
    <n v="30"/>
    <x v="1"/>
    <m/>
    <m/>
  </r>
  <r>
    <x v="6"/>
    <x v="1"/>
    <x v="170"/>
    <x v="25"/>
    <x v="2"/>
    <s v="Dep 1"/>
    <n v="70000"/>
    <n v="7"/>
    <x v="23"/>
    <n v="3"/>
    <n v="3"/>
    <s v="100"/>
    <s v="100"/>
    <s v="100"/>
    <s v="PO-0171"/>
    <d v="2025-11-30T00:00:00"/>
    <n v="30"/>
    <x v="1"/>
    <m/>
    <m/>
  </r>
  <r>
    <x v="6"/>
    <x v="1"/>
    <x v="171"/>
    <x v="26"/>
    <x v="2"/>
    <s v="Dep 1"/>
    <n v="70000"/>
    <n v="7"/>
    <x v="28"/>
    <n v="3"/>
    <n v="3"/>
    <s v="100"/>
    <s v="100"/>
    <s v="100"/>
    <s v="PO-0172"/>
    <d v="2025-12-01T00:00:00"/>
    <n v="30"/>
    <x v="1"/>
    <m/>
    <m/>
  </r>
  <r>
    <x v="6"/>
    <x v="1"/>
    <x v="172"/>
    <x v="27"/>
    <x v="2"/>
    <s v="Dep 1"/>
    <n v="70000"/>
    <n v="7"/>
    <x v="29"/>
    <n v="3"/>
    <n v="3"/>
    <s v="100"/>
    <s v="100"/>
    <s v="100"/>
    <s v="PO-0173"/>
    <d v="2025-12-02T00:00:00"/>
    <n v="30"/>
    <x v="1"/>
    <m/>
    <m/>
  </r>
  <r>
    <x v="6"/>
    <x v="1"/>
    <x v="173"/>
    <x v="28"/>
    <x v="2"/>
    <s v="Dep 1"/>
    <n v="70000"/>
    <n v="7"/>
    <x v="30"/>
    <n v="3"/>
    <n v="3"/>
    <s v="100"/>
    <s v="100"/>
    <s v="100"/>
    <s v="PO-0174"/>
    <d v="2025-12-03T00:00:00"/>
    <n v="30"/>
    <x v="1"/>
    <m/>
    <m/>
  </r>
  <r>
    <x v="6"/>
    <x v="1"/>
    <x v="174"/>
    <x v="0"/>
    <x v="2"/>
    <s v="Dep 1"/>
    <n v="70000"/>
    <n v="7"/>
    <x v="0"/>
    <n v="5"/>
    <n v="5"/>
    <s v="100"/>
    <s v="100"/>
    <s v="100"/>
    <s v="PO-0175"/>
    <d v="2025-11-07T00:00:00"/>
    <n v="30"/>
    <x v="1"/>
    <m/>
    <m/>
  </r>
  <r>
    <x v="6"/>
    <x v="1"/>
    <x v="175"/>
    <x v="1"/>
    <x v="2"/>
    <s v="Dep 1"/>
    <n v="70000"/>
    <n v="7"/>
    <x v="1"/>
    <n v="5"/>
    <n v="5"/>
    <s v="100"/>
    <s v="100"/>
    <s v="100"/>
    <s v="PO-0176"/>
    <d v="2025-11-08T00:00:00"/>
    <n v="30"/>
    <x v="1"/>
    <m/>
    <m/>
  </r>
  <r>
    <x v="6"/>
    <x v="1"/>
    <x v="176"/>
    <x v="2"/>
    <x v="2"/>
    <s v="Dep 1"/>
    <n v="70000"/>
    <n v="7"/>
    <x v="2"/>
    <n v="5"/>
    <n v="5"/>
    <s v="100"/>
    <s v="100"/>
    <s v="100"/>
    <s v="PO-0177"/>
    <d v="2025-11-09T00:00:00"/>
    <n v="30"/>
    <x v="1"/>
    <m/>
    <m/>
  </r>
  <r>
    <x v="6"/>
    <x v="1"/>
    <x v="177"/>
    <x v="3"/>
    <x v="2"/>
    <s v="Dep 1"/>
    <n v="70000"/>
    <n v="7"/>
    <x v="3"/>
    <n v="5"/>
    <n v="5"/>
    <s v="100"/>
    <s v="100"/>
    <s v="100"/>
    <s v="PO-0178"/>
    <d v="2025-11-10T00:00:00"/>
    <n v="30"/>
    <x v="1"/>
    <m/>
    <m/>
  </r>
  <r>
    <x v="6"/>
    <x v="1"/>
    <x v="178"/>
    <x v="4"/>
    <x v="2"/>
    <s v="Dep 1"/>
    <n v="70000"/>
    <n v="7"/>
    <x v="4"/>
    <n v="5"/>
    <n v="5"/>
    <s v="100"/>
    <s v="100"/>
    <s v="100"/>
    <s v="PO-0179"/>
    <d v="2025-11-11T00:00:00"/>
    <n v="30"/>
    <x v="1"/>
    <m/>
    <m/>
  </r>
  <r>
    <x v="6"/>
    <x v="1"/>
    <x v="179"/>
    <x v="5"/>
    <x v="2"/>
    <s v="Dep 1"/>
    <n v="70000"/>
    <n v="7"/>
    <x v="5"/>
    <n v="5"/>
    <n v="5"/>
    <s v="100"/>
    <s v="100"/>
    <s v="100"/>
    <s v="PO-0180"/>
    <d v="2025-11-12T00:00:00"/>
    <n v="30"/>
    <x v="1"/>
    <m/>
    <m/>
  </r>
  <r>
    <x v="6"/>
    <x v="1"/>
    <x v="180"/>
    <x v="6"/>
    <x v="2"/>
    <s v="Dep 1"/>
    <n v="70000"/>
    <n v="7"/>
    <x v="6"/>
    <n v="5"/>
    <n v="5"/>
    <s v="100"/>
    <s v="100"/>
    <s v="100"/>
    <s v="PO-0181"/>
    <d v="2025-11-13T00:00:00"/>
    <n v="30"/>
    <x v="1"/>
    <m/>
    <m/>
  </r>
  <r>
    <x v="6"/>
    <x v="1"/>
    <x v="181"/>
    <x v="7"/>
    <x v="2"/>
    <s v="Dep 1"/>
    <n v="70000"/>
    <n v="7"/>
    <x v="7"/>
    <n v="5"/>
    <n v="5"/>
    <s v="100"/>
    <s v="100"/>
    <s v="100"/>
    <s v="PO-0182"/>
    <d v="2025-11-14T00:00:00"/>
    <n v="30"/>
    <x v="1"/>
    <m/>
    <m/>
  </r>
  <r>
    <x v="6"/>
    <x v="1"/>
    <x v="182"/>
    <x v="8"/>
    <x v="2"/>
    <s v="Dep 1"/>
    <n v="70000"/>
    <n v="7"/>
    <x v="8"/>
    <n v="5"/>
    <n v="5"/>
    <s v="100"/>
    <s v="100"/>
    <s v="100"/>
    <s v="PO-0183"/>
    <d v="2025-11-15T00:00:00"/>
    <n v="30"/>
    <x v="1"/>
    <m/>
    <m/>
  </r>
  <r>
    <x v="6"/>
    <x v="1"/>
    <x v="183"/>
    <x v="9"/>
    <x v="2"/>
    <s v="Dep 1"/>
    <n v="70000"/>
    <n v="7"/>
    <x v="9"/>
    <n v="5"/>
    <n v="5"/>
    <s v="100"/>
    <s v="100"/>
    <s v="100"/>
    <s v="PO-0184"/>
    <d v="2025-11-16T00:00:00"/>
    <n v="30"/>
    <x v="1"/>
    <m/>
    <m/>
  </r>
  <r>
    <x v="6"/>
    <x v="1"/>
    <x v="184"/>
    <x v="10"/>
    <x v="2"/>
    <s v="Dep 1"/>
    <n v="70000"/>
    <n v="7"/>
    <x v="10"/>
    <n v="5"/>
    <n v="5"/>
    <s v="100"/>
    <s v="100"/>
    <s v="100"/>
    <s v="PO-0185"/>
    <d v="2025-11-17T00:00:00"/>
    <n v="30"/>
    <x v="1"/>
    <m/>
    <m/>
  </r>
  <r>
    <x v="6"/>
    <x v="1"/>
    <x v="185"/>
    <x v="11"/>
    <x v="2"/>
    <s v="Dep 1"/>
    <n v="70000"/>
    <n v="7"/>
    <x v="11"/>
    <n v="5"/>
    <n v="5"/>
    <s v="100"/>
    <s v="100"/>
    <s v="100"/>
    <s v="PO-0186"/>
    <d v="2025-11-18T00:00:00"/>
    <n v="30"/>
    <x v="1"/>
    <m/>
    <m/>
  </r>
  <r>
    <x v="6"/>
    <x v="1"/>
    <x v="186"/>
    <x v="12"/>
    <x v="2"/>
    <s v="Dep 2 "/>
    <n v="70000"/>
    <n v="7"/>
    <x v="12"/>
    <n v="5"/>
    <n v="5"/>
    <s v="100"/>
    <s v="100"/>
    <s v="100"/>
    <s v="PO-0187"/>
    <d v="2025-11-19T00:00:00"/>
    <n v="30"/>
    <x v="1"/>
    <m/>
    <m/>
  </r>
  <r>
    <x v="6"/>
    <x v="1"/>
    <x v="187"/>
    <x v="13"/>
    <x v="2"/>
    <s v="Dep 2 "/>
    <n v="70000"/>
    <n v="7"/>
    <x v="13"/>
    <n v="5"/>
    <n v="5"/>
    <s v="100"/>
    <s v="100"/>
    <s v="100"/>
    <s v="PO-0188"/>
    <d v="2025-11-20T00:00:00"/>
    <n v="30"/>
    <x v="1"/>
    <m/>
    <m/>
  </r>
  <r>
    <x v="6"/>
    <x v="1"/>
    <x v="188"/>
    <x v="14"/>
    <x v="2"/>
    <s v="Dep 2 "/>
    <n v="70000"/>
    <n v="7"/>
    <x v="14"/>
    <n v="5"/>
    <n v="5"/>
    <s v="100"/>
    <s v="100"/>
    <s v="100"/>
    <s v="PO-0189"/>
    <d v="2025-11-21T00:00:00"/>
    <n v="30"/>
    <x v="1"/>
    <m/>
    <m/>
  </r>
  <r>
    <x v="6"/>
    <x v="1"/>
    <x v="189"/>
    <x v="15"/>
    <x v="2"/>
    <s v="Dep 2 "/>
    <n v="70000"/>
    <n v="7"/>
    <x v="15"/>
    <n v="5"/>
    <n v="5"/>
    <s v="100"/>
    <s v="100"/>
    <s v="100"/>
    <s v="PO-0190"/>
    <d v="2025-11-22T00:00:00"/>
    <n v="30"/>
    <x v="1"/>
    <m/>
    <m/>
  </r>
  <r>
    <x v="6"/>
    <x v="1"/>
    <x v="190"/>
    <x v="16"/>
    <x v="2"/>
    <s v="Dep 2 "/>
    <n v="70000"/>
    <n v="7"/>
    <x v="16"/>
    <n v="5"/>
    <n v="5"/>
    <s v="100"/>
    <s v="100"/>
    <s v="100"/>
    <s v="PO-0191"/>
    <d v="2025-11-23T00:00:00"/>
    <n v="30"/>
    <x v="1"/>
    <m/>
    <m/>
  </r>
  <r>
    <x v="6"/>
    <x v="1"/>
    <x v="191"/>
    <x v="17"/>
    <x v="2"/>
    <s v="Dep 2 "/>
    <n v="70000"/>
    <n v="7"/>
    <x v="17"/>
    <n v="5"/>
    <n v="5"/>
    <s v="100"/>
    <s v="100"/>
    <s v="100"/>
    <s v="PO-0192"/>
    <d v="2025-11-24T00:00:00"/>
    <n v="30"/>
    <x v="1"/>
    <m/>
    <m/>
  </r>
  <r>
    <x v="6"/>
    <x v="1"/>
    <x v="192"/>
    <x v="18"/>
    <x v="2"/>
    <s v="Dep 2 "/>
    <n v="70000"/>
    <n v="7"/>
    <x v="17"/>
    <n v="4"/>
    <n v="4"/>
    <s v="100"/>
    <s v="100"/>
    <s v="100"/>
    <s v="PO-0193"/>
    <d v="2025-11-24T00:00:00"/>
    <n v="30"/>
    <x v="1"/>
    <m/>
    <m/>
  </r>
  <r>
    <x v="6"/>
    <x v="1"/>
    <x v="193"/>
    <x v="19"/>
    <x v="2"/>
    <s v="Dep 2 "/>
    <n v="70000"/>
    <n v="7"/>
    <x v="18"/>
    <n v="4"/>
    <n v="4"/>
    <s v="100"/>
    <s v="100"/>
    <s v="100"/>
    <s v="PO-0194"/>
    <d v="2025-11-25T00:00:00"/>
    <n v="30"/>
    <x v="1"/>
    <m/>
    <m/>
  </r>
  <r>
    <x v="6"/>
    <x v="1"/>
    <x v="194"/>
    <x v="20"/>
    <x v="2"/>
    <s v="Dep 2 "/>
    <n v="70000"/>
    <n v="7"/>
    <x v="19"/>
    <n v="4"/>
    <n v="4"/>
    <s v="100"/>
    <s v="100"/>
    <s v="100"/>
    <s v="PO-0195"/>
    <d v="2025-11-26T00:00:00"/>
    <n v="30"/>
    <x v="1"/>
    <m/>
    <m/>
  </r>
  <r>
    <x v="6"/>
    <x v="1"/>
    <x v="195"/>
    <x v="21"/>
    <x v="2"/>
    <s v="Dep 2 "/>
    <n v="70000"/>
    <n v="7"/>
    <x v="20"/>
    <n v="4"/>
    <n v="4"/>
    <s v="100"/>
    <s v="100"/>
    <s v="100"/>
    <s v="PO-0196"/>
    <d v="2025-11-27T00:00:00"/>
    <n v="30"/>
    <x v="1"/>
    <m/>
    <m/>
  </r>
  <r>
    <x v="6"/>
    <x v="1"/>
    <x v="196"/>
    <x v="22"/>
    <x v="2"/>
    <s v="Dep 2 "/>
    <n v="70000"/>
    <n v="7"/>
    <x v="21"/>
    <n v="4"/>
    <n v="4"/>
    <s v="100"/>
    <s v="100"/>
    <s v="100"/>
    <s v="PO-0197"/>
    <d v="2025-11-28T00:00:00"/>
    <n v="30"/>
    <x v="1"/>
    <m/>
    <m/>
  </r>
  <r>
    <x v="6"/>
    <x v="1"/>
    <x v="197"/>
    <x v="23"/>
    <x v="2"/>
    <s v="Dep 2 "/>
    <n v="70000"/>
    <n v="7"/>
    <x v="22"/>
    <n v="4"/>
    <n v="4"/>
    <s v="100"/>
    <s v="100"/>
    <s v="100"/>
    <s v="PO-0198"/>
    <d v="2025-11-29T00:00:00"/>
    <n v="30"/>
    <x v="1"/>
    <m/>
    <m/>
  </r>
  <r>
    <x v="6"/>
    <x v="1"/>
    <x v="198"/>
    <x v="24"/>
    <x v="2"/>
    <s v="Dep 2 "/>
    <n v="70000"/>
    <n v="7"/>
    <x v="23"/>
    <n v="4"/>
    <n v="4"/>
    <s v="100"/>
    <s v="100"/>
    <s v="100"/>
    <s v="PO-0199"/>
    <d v="2025-11-30T00:00:00"/>
    <n v="30"/>
    <x v="1"/>
    <m/>
    <m/>
  </r>
  <r>
    <x v="6"/>
    <x v="1"/>
    <x v="199"/>
    <x v="25"/>
    <x v="2"/>
    <s v="Dep 2 "/>
    <n v="70000"/>
    <n v="7"/>
    <x v="28"/>
    <n v="4"/>
    <n v="4"/>
    <s v="100"/>
    <s v="100"/>
    <s v="100"/>
    <s v="PO-0200"/>
    <d v="2025-12-01T00:00:00"/>
    <n v="30"/>
    <x v="1"/>
    <m/>
    <m/>
  </r>
  <r>
    <x v="6"/>
    <x v="1"/>
    <x v="200"/>
    <x v="26"/>
    <x v="2"/>
    <s v="Dep 2 "/>
    <n v="70000"/>
    <n v="7"/>
    <x v="29"/>
    <n v="4"/>
    <n v="4"/>
    <s v="100"/>
    <s v="100"/>
    <s v="100"/>
    <s v="PO-0201"/>
    <d v="2025-12-02T00:00:00"/>
    <n v="30"/>
    <x v="1"/>
    <m/>
    <m/>
  </r>
  <r>
    <x v="6"/>
    <x v="1"/>
    <x v="201"/>
    <x v="27"/>
    <x v="2"/>
    <s v="Dep 2 "/>
    <n v="70000"/>
    <n v="7"/>
    <x v="30"/>
    <n v="4"/>
    <n v="4"/>
    <s v="100"/>
    <s v="100"/>
    <s v="100"/>
    <s v="PO-0202"/>
    <d v="2025-12-03T00:00:00"/>
    <n v="30"/>
    <x v="1"/>
    <m/>
    <m/>
  </r>
  <r>
    <x v="6"/>
    <x v="1"/>
    <x v="202"/>
    <x v="28"/>
    <x v="2"/>
    <s v="Dep 2 "/>
    <n v="70000"/>
    <n v="7"/>
    <x v="31"/>
    <n v="4"/>
    <n v="4"/>
    <s v="100"/>
    <s v="100"/>
    <s v="100"/>
    <s v="PO-0203"/>
    <d v="2025-12-04T00:00:00"/>
    <n v="30"/>
    <x v="1"/>
    <m/>
    <m/>
  </r>
  <r>
    <x v="6"/>
    <x v="1"/>
    <x v="203"/>
    <x v="0"/>
    <x v="2"/>
    <s v="Dep 2 "/>
    <n v="70000"/>
    <n v="7"/>
    <x v="34"/>
    <n v="2"/>
    <n v="2"/>
    <s v="100"/>
    <s v="100"/>
    <s v="100"/>
    <s v="PO-0204"/>
    <d v="2025-11-04T00:00:00"/>
    <n v="30"/>
    <x v="1"/>
    <m/>
    <m/>
  </r>
  <r>
    <x v="6"/>
    <x v="1"/>
    <x v="204"/>
    <x v="1"/>
    <x v="2"/>
    <s v="Dep 2 "/>
    <n v="70000"/>
    <n v="7"/>
    <x v="32"/>
    <n v="2"/>
    <n v="2"/>
    <s v="100"/>
    <s v="100"/>
    <s v="100"/>
    <s v="PO-0205"/>
    <d v="2025-11-05T00:00:00"/>
    <n v="30"/>
    <x v="1"/>
    <m/>
    <m/>
  </r>
  <r>
    <x v="6"/>
    <x v="1"/>
    <x v="205"/>
    <x v="2"/>
    <x v="2"/>
    <s v="Dep 2 "/>
    <n v="70000"/>
    <n v="7"/>
    <x v="33"/>
    <n v="2"/>
    <n v="2"/>
    <s v="100"/>
    <s v="100"/>
    <s v="100"/>
    <s v="PO-0206"/>
    <d v="2025-11-06T00:00:00"/>
    <n v="30"/>
    <x v="1"/>
    <m/>
    <m/>
  </r>
  <r>
    <x v="6"/>
    <x v="1"/>
    <x v="206"/>
    <x v="3"/>
    <x v="2"/>
    <s v="Dep 2 "/>
    <n v="70000"/>
    <n v="7"/>
    <x v="0"/>
    <n v="2"/>
    <n v="2"/>
    <s v="100"/>
    <s v="100"/>
    <s v="100"/>
    <s v="PO-0207"/>
    <d v="2025-11-07T00:00:00"/>
    <n v="30"/>
    <x v="1"/>
    <m/>
    <m/>
  </r>
  <r>
    <x v="6"/>
    <x v="1"/>
    <x v="207"/>
    <x v="4"/>
    <x v="1"/>
    <s v="Dep 2 "/>
    <n v="70000"/>
    <n v="7"/>
    <x v="1"/>
    <n v="2"/>
    <n v="2"/>
    <s v="100"/>
    <s v="100"/>
    <s v="100"/>
    <s v="PO-0208"/>
    <d v="2025-11-08T00:00:00"/>
    <n v="30"/>
    <x v="1"/>
    <m/>
    <m/>
  </r>
  <r>
    <x v="6"/>
    <x v="1"/>
    <x v="208"/>
    <x v="5"/>
    <x v="1"/>
    <s v="Dep 2 "/>
    <n v="70000"/>
    <n v="7"/>
    <x v="2"/>
    <n v="2"/>
    <n v="2"/>
    <s v="100"/>
    <s v="100"/>
    <s v="100"/>
    <s v="PO-0209"/>
    <d v="2025-11-09T00:00:00"/>
    <n v="30"/>
    <x v="1"/>
    <m/>
    <m/>
  </r>
  <r>
    <x v="6"/>
    <x v="1"/>
    <x v="209"/>
    <x v="6"/>
    <x v="1"/>
    <s v="Dep 2 "/>
    <n v="70000"/>
    <n v="7"/>
    <x v="3"/>
    <n v="2"/>
    <n v="2"/>
    <s v="100"/>
    <s v="100"/>
    <s v="100"/>
    <s v="PO-0210"/>
    <d v="2025-11-10T00:00:00"/>
    <n v="30"/>
    <x v="1"/>
    <m/>
    <m/>
  </r>
  <r>
    <x v="6"/>
    <x v="1"/>
    <x v="210"/>
    <x v="7"/>
    <x v="1"/>
    <s v="Dep 2 "/>
    <n v="70000"/>
    <n v="7"/>
    <x v="4"/>
    <n v="2"/>
    <n v="2"/>
    <s v="100"/>
    <s v="100"/>
    <s v="100"/>
    <s v="PO-0211"/>
    <d v="2025-11-11T00:00:00"/>
    <n v="30"/>
    <x v="1"/>
    <m/>
    <m/>
  </r>
  <r>
    <x v="6"/>
    <x v="1"/>
    <x v="211"/>
    <x v="8"/>
    <x v="1"/>
    <s v="Dep 2 "/>
    <n v="70000"/>
    <n v="7"/>
    <x v="5"/>
    <n v="2"/>
    <n v="2"/>
    <s v="100"/>
    <s v="100"/>
    <s v="100"/>
    <s v="PO-0212"/>
    <d v="2025-11-12T00:00:00"/>
    <n v="30"/>
    <x v="1"/>
    <m/>
    <m/>
  </r>
  <r>
    <x v="6"/>
    <x v="1"/>
    <x v="212"/>
    <x v="9"/>
    <x v="1"/>
    <s v="Dep 2 "/>
    <n v="70000"/>
    <n v="7"/>
    <x v="6"/>
    <n v="2"/>
    <n v="2"/>
    <s v="100"/>
    <s v="100"/>
    <s v="100"/>
    <s v="PO-0213"/>
    <d v="2025-11-13T00:00:00"/>
    <n v="30"/>
    <x v="1"/>
    <m/>
    <m/>
  </r>
  <r>
    <x v="6"/>
    <x v="1"/>
    <x v="213"/>
    <x v="10"/>
    <x v="1"/>
    <s v="Dep 2 "/>
    <n v="70000"/>
    <n v="7"/>
    <x v="7"/>
    <n v="2"/>
    <n v="2"/>
    <s v="100"/>
    <s v="100"/>
    <s v="100"/>
    <s v="PO-0214"/>
    <d v="2025-11-14T00:00:00"/>
    <n v="30"/>
    <x v="1"/>
    <m/>
    <m/>
  </r>
  <r>
    <x v="6"/>
    <x v="1"/>
    <x v="214"/>
    <x v="11"/>
    <x v="2"/>
    <s v="Dep 2 "/>
    <n v="70000"/>
    <n v="7"/>
    <x v="8"/>
    <n v="2"/>
    <n v="2"/>
    <s v="100"/>
    <s v="100"/>
    <s v="100"/>
    <s v="PO-0215"/>
    <d v="2025-11-15T00:00:00"/>
    <n v="30"/>
    <x v="1"/>
    <m/>
    <m/>
  </r>
  <r>
    <x v="6"/>
    <x v="1"/>
    <x v="215"/>
    <x v="12"/>
    <x v="2"/>
    <s v="Dep 2 "/>
    <n v="70000"/>
    <n v="7"/>
    <x v="9"/>
    <n v="2"/>
    <n v="2"/>
    <s v="100"/>
    <s v="100"/>
    <s v="100"/>
    <s v="PO-0216"/>
    <d v="2025-11-16T00:00:00"/>
    <n v="30"/>
    <x v="1"/>
    <m/>
    <m/>
  </r>
  <r>
    <x v="6"/>
    <x v="1"/>
    <x v="216"/>
    <x v="13"/>
    <x v="2"/>
    <s v="Dep 2 "/>
    <n v="70000"/>
    <n v="7"/>
    <x v="10"/>
    <n v="2"/>
    <n v="2"/>
    <s v="100"/>
    <s v="100"/>
    <s v="100"/>
    <s v="PO-0217"/>
    <d v="2025-11-17T00:00:00"/>
    <n v="30"/>
    <x v="1"/>
    <m/>
    <m/>
  </r>
  <r>
    <x v="6"/>
    <x v="1"/>
    <x v="217"/>
    <x v="14"/>
    <x v="2"/>
    <s v="Dep 2 "/>
    <n v="70000"/>
    <n v="7"/>
    <x v="11"/>
    <n v="2"/>
    <n v="2"/>
    <s v="100"/>
    <s v="100"/>
    <s v="100"/>
    <s v="PO-0218"/>
    <d v="2025-11-18T00:00:00"/>
    <n v="30"/>
    <x v="1"/>
    <m/>
    <m/>
  </r>
  <r>
    <x v="6"/>
    <x v="1"/>
    <x v="218"/>
    <x v="15"/>
    <x v="2"/>
    <s v="Dep 2 "/>
    <n v="70000"/>
    <n v="7"/>
    <x v="12"/>
    <n v="2"/>
    <n v="2"/>
    <s v="100"/>
    <s v="100"/>
    <s v="100"/>
    <s v="PO-0219"/>
    <d v="2025-11-19T00:00:00"/>
    <n v="30"/>
    <x v="1"/>
    <m/>
    <m/>
  </r>
  <r>
    <x v="6"/>
    <x v="1"/>
    <x v="219"/>
    <x v="16"/>
    <x v="2"/>
    <s v="Dep 2 "/>
    <n v="70000"/>
    <n v="7"/>
    <x v="13"/>
    <n v="2"/>
    <n v="2"/>
    <s v="100"/>
    <s v="100"/>
    <s v="100"/>
    <s v="PO-0220"/>
    <d v="2025-11-20T00:00:00"/>
    <n v="30"/>
    <x v="1"/>
    <m/>
    <m/>
  </r>
  <r>
    <x v="6"/>
    <x v="1"/>
    <x v="220"/>
    <x v="17"/>
    <x v="2"/>
    <s v="Dep 2 "/>
    <n v="70000"/>
    <n v="7"/>
    <x v="14"/>
    <n v="2"/>
    <n v="2"/>
    <s v="100"/>
    <s v="100"/>
    <s v="100"/>
    <s v="PO-0221"/>
    <d v="2025-11-21T00:00:00"/>
    <n v="30"/>
    <x v="1"/>
    <m/>
    <m/>
  </r>
  <r>
    <x v="6"/>
    <x v="1"/>
    <x v="221"/>
    <x v="18"/>
    <x v="2"/>
    <s v="Dep 2 "/>
    <n v="70000"/>
    <n v="7"/>
    <x v="15"/>
    <n v="2"/>
    <n v="2"/>
    <s v="100"/>
    <s v="100"/>
    <s v="100"/>
    <s v="PO-0222"/>
    <d v="2025-11-22T00:00:00"/>
    <n v="30"/>
    <x v="1"/>
    <m/>
    <m/>
  </r>
  <r>
    <x v="6"/>
    <x v="1"/>
    <x v="222"/>
    <x v="19"/>
    <x v="2"/>
    <s v="Dep 2 "/>
    <n v="70000"/>
    <n v="7"/>
    <x v="16"/>
    <n v="2"/>
    <n v="2"/>
    <s v="100"/>
    <s v="100"/>
    <s v="100"/>
    <s v="PO-0223"/>
    <d v="2025-11-23T00:00:00"/>
    <n v="30"/>
    <x v="1"/>
    <m/>
    <m/>
  </r>
  <r>
    <x v="6"/>
    <x v="1"/>
    <x v="223"/>
    <x v="20"/>
    <x v="2"/>
    <s v="Dep 2 "/>
    <n v="70000"/>
    <n v="7"/>
    <x v="17"/>
    <n v="2"/>
    <n v="2"/>
    <s v="100"/>
    <s v="100"/>
    <s v="100"/>
    <s v="PO-0224"/>
    <d v="2025-11-24T00:00:00"/>
    <n v="30"/>
    <x v="1"/>
    <m/>
    <m/>
  </r>
  <r>
    <x v="6"/>
    <x v="1"/>
    <x v="224"/>
    <x v="21"/>
    <x v="2"/>
    <s v="Dep 2 "/>
    <n v="70000"/>
    <n v="7"/>
    <x v="18"/>
    <n v="2"/>
    <n v="2"/>
    <s v="100"/>
    <s v="100"/>
    <s v="100"/>
    <s v="PO-0225"/>
    <d v="2025-11-25T00:00:00"/>
    <n v="30"/>
    <x v="1"/>
    <m/>
    <m/>
  </r>
  <r>
    <x v="6"/>
    <x v="1"/>
    <x v="225"/>
    <x v="22"/>
    <x v="2"/>
    <s v="Dep 2 "/>
    <n v="70000"/>
    <n v="7"/>
    <x v="19"/>
    <n v="2"/>
    <n v="2"/>
    <s v="100"/>
    <s v="100"/>
    <s v="100"/>
    <s v="PO-0226"/>
    <d v="2025-11-26T00:00:00"/>
    <n v="30"/>
    <x v="1"/>
    <m/>
    <m/>
  </r>
  <r>
    <x v="6"/>
    <x v="1"/>
    <x v="226"/>
    <x v="23"/>
    <x v="2"/>
    <s v="Dep 2 "/>
    <n v="70000"/>
    <n v="7"/>
    <x v="20"/>
    <n v="2"/>
    <n v="2"/>
    <s v="100"/>
    <s v="100"/>
    <s v="100"/>
    <s v="PO-0227"/>
    <d v="2025-11-27T00:00:00"/>
    <n v="30"/>
    <x v="1"/>
    <m/>
    <m/>
  </r>
  <r>
    <x v="5"/>
    <x v="0"/>
    <x v="227"/>
    <x v="24"/>
    <x v="6"/>
    <s v="Dep 4"/>
    <n v="70000"/>
    <n v="7"/>
    <x v="21"/>
    <n v="2"/>
    <n v="2"/>
    <s v="100"/>
    <s v="100"/>
    <s v="100"/>
    <s v="PO-0228"/>
    <d v="2025-11-28T00:00:00"/>
    <n v="30"/>
    <x v="1"/>
    <m/>
    <m/>
  </r>
  <r>
    <x v="5"/>
    <x v="0"/>
    <x v="228"/>
    <x v="25"/>
    <x v="6"/>
    <s v="Dep 4"/>
    <n v="70000"/>
    <n v="7"/>
    <x v="22"/>
    <n v="2"/>
    <n v="2"/>
    <s v="100"/>
    <s v="100"/>
    <s v="100"/>
    <s v="PO-0229"/>
    <d v="2025-11-29T00:00:00"/>
    <n v="30"/>
    <x v="1"/>
    <m/>
    <m/>
  </r>
  <r>
    <x v="5"/>
    <x v="0"/>
    <x v="229"/>
    <x v="26"/>
    <x v="7"/>
    <s v="Dep 4"/>
    <n v="70000"/>
    <n v="7"/>
    <x v="23"/>
    <n v="2"/>
    <n v="2"/>
    <s v="100"/>
    <s v="100"/>
    <s v="100"/>
    <s v="PO-0230"/>
    <d v="2025-11-30T00:00:00"/>
    <n v="30"/>
    <x v="1"/>
    <m/>
    <m/>
  </r>
  <r>
    <x v="5"/>
    <x v="0"/>
    <x v="230"/>
    <x v="27"/>
    <x v="7"/>
    <s v="Dep 4"/>
    <n v="70000"/>
    <n v="7"/>
    <x v="28"/>
    <n v="2"/>
    <n v="2"/>
    <s v="100"/>
    <s v="100"/>
    <s v="100"/>
    <s v="PO-0231"/>
    <d v="2025-12-01T00:00:00"/>
    <n v="30"/>
    <x v="1"/>
    <m/>
    <m/>
  </r>
  <r>
    <x v="5"/>
    <x v="0"/>
    <x v="231"/>
    <x v="28"/>
    <x v="7"/>
    <s v="Dep 4"/>
    <n v="70000"/>
    <n v="7"/>
    <x v="29"/>
    <n v="2"/>
    <n v="2"/>
    <s v="100"/>
    <s v="100"/>
    <s v="100"/>
    <s v="PO-0232"/>
    <d v="2025-12-02T00:00:00"/>
    <n v="30"/>
    <x v="1"/>
    <m/>
    <m/>
  </r>
  <r>
    <x v="5"/>
    <x v="0"/>
    <x v="232"/>
    <x v="28"/>
    <x v="7"/>
    <s v="Dep 4"/>
    <n v="70000"/>
    <n v="7"/>
    <x v="30"/>
    <n v="3"/>
    <n v="3"/>
    <s v="100"/>
    <s v="100"/>
    <s v="100"/>
    <s v="PO-0233"/>
    <d v="2025-12-03T00:00:00"/>
    <n v="30"/>
    <x v="1"/>
    <m/>
    <m/>
  </r>
  <r>
    <x v="7"/>
    <x v="3"/>
    <x v="233"/>
    <x v="29"/>
    <x v="8"/>
    <m/>
    <m/>
    <m/>
    <x v="35"/>
    <m/>
    <m/>
    <m/>
    <m/>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AE646-C7D4-4263-ABBC-3D9CBD23BA7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F5" firstHeaderRow="1" firstDataRow="2" firstDataCol="1"/>
  <pivotFields count="20">
    <pivotField showAll="0">
      <items count="10">
        <item x="1"/>
        <item x="0"/>
        <item x="5"/>
        <item x="3"/>
        <item x="6"/>
        <item x="2"/>
        <item x="4"/>
        <item m="1" x="8"/>
        <item x="7"/>
        <item t="default"/>
      </items>
    </pivotField>
    <pivotField axis="axisCol" showAll="0">
      <items count="5">
        <item x="2"/>
        <item x="1"/>
        <item x="0"/>
        <item x="3"/>
        <item t="default"/>
      </items>
    </pivotField>
    <pivotField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5">
    <i>
      <x/>
    </i>
    <i>
      <x v="1"/>
    </i>
    <i>
      <x v="2"/>
    </i>
    <i>
      <x v="3"/>
    </i>
    <i t="grand">
      <x/>
    </i>
  </colItems>
  <dataFields count="1">
    <dataField name="Sum of Total amount" fld="6" baseField="0" baseItem="0"/>
  </dataFields>
  <chartFormats count="16">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2"/>
          </reference>
        </references>
      </pivotArea>
    </chartFormat>
    <chartFormat chart="6" format="16" series="1">
      <pivotArea type="data" outline="0" fieldPosition="0">
        <references count="2">
          <reference field="4294967294" count="1" selected="0">
            <x v="0"/>
          </reference>
          <reference field="1" count="1" selected="0">
            <x v="0"/>
          </reference>
        </references>
      </pivotArea>
    </chartFormat>
    <chartFormat chart="6" format="17">
      <pivotArea type="data" outline="0" fieldPosition="0">
        <references count="2">
          <reference field="4294967294" count="1" selected="0">
            <x v="0"/>
          </reference>
          <reference field="1" count="1" selected="0">
            <x v="0"/>
          </reference>
        </references>
      </pivotArea>
    </chartFormat>
    <chartFormat chart="6" format="18" series="1">
      <pivotArea type="data" outline="0" fieldPosition="0">
        <references count="2">
          <reference field="4294967294" count="1" selected="0">
            <x v="0"/>
          </reference>
          <reference field="1" count="1" selected="0">
            <x v="1"/>
          </reference>
        </references>
      </pivotArea>
    </chartFormat>
    <chartFormat chart="6" format="19">
      <pivotArea type="data" outline="0" fieldPosition="0">
        <references count="2">
          <reference field="4294967294" count="1" selected="0">
            <x v="0"/>
          </reference>
          <reference field="1" count="1" selected="0">
            <x v="1"/>
          </reference>
        </references>
      </pivotArea>
    </chartFormat>
    <chartFormat chart="6" format="20" series="1">
      <pivotArea type="data" outline="0" fieldPosition="0">
        <references count="2">
          <reference field="4294967294" count="1" selected="0">
            <x v="0"/>
          </reference>
          <reference field="1" count="1" selected="0">
            <x v="2"/>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3"/>
          </reference>
        </references>
      </pivotArea>
    </chartFormat>
    <chartFormat chart="6" format="23"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07EBA-E63C-471C-8BEB-A387B50AC5A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F5" firstHeaderRow="1" firstDataRow="2" firstDataCol="1"/>
  <pivotFields count="20">
    <pivotField showAll="0">
      <items count="10">
        <item x="1"/>
        <item x="0"/>
        <item x="5"/>
        <item x="3"/>
        <item x="6"/>
        <item x="2"/>
        <item x="4"/>
        <item m="1" x="8"/>
        <item x="7"/>
        <item t="default"/>
      </items>
    </pivotField>
    <pivotField axis="axisCol" showAll="0">
      <items count="5">
        <item x="2"/>
        <item x="1"/>
        <item x="0"/>
        <item x="3"/>
        <item t="default"/>
      </items>
    </pivotField>
    <pivotField dataField="1"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5">
    <i>
      <x/>
    </i>
    <i>
      <x v="1"/>
    </i>
    <i>
      <x v="2"/>
    </i>
    <i>
      <x v="3"/>
    </i>
    <i t="grand">
      <x/>
    </i>
  </colItems>
  <dataFields count="1">
    <dataField name="Count of PR #" fld="2"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0" format="7" series="1">
      <pivotArea type="data" outline="0" fieldPosition="0">
        <references count="2">
          <reference field="4294967294" count="1" selected="0">
            <x v="0"/>
          </reference>
          <reference field="1" count="1" selected="0">
            <x v="0"/>
          </reference>
        </references>
      </pivotArea>
    </chartFormat>
    <chartFormat chart="10" format="8" series="1">
      <pivotArea type="data" outline="0" fieldPosition="0">
        <references count="2">
          <reference field="4294967294" count="1" selected="0">
            <x v="0"/>
          </reference>
          <reference field="1" count="1" selected="0">
            <x v="1"/>
          </reference>
        </references>
      </pivotArea>
    </chartFormat>
    <chartFormat chart="10" format="9" series="1">
      <pivotArea type="data" outline="0" fieldPosition="0">
        <references count="2">
          <reference field="4294967294" count="1" selected="0">
            <x v="0"/>
          </reference>
          <reference field="1" count="1" selected="0">
            <x v="2"/>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3929F4-0929-4DF1-ACC7-A1AFFC55C9B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6" firstHeaderRow="1" firstDataRow="1" firstDataCol="1"/>
  <pivotFields count="20">
    <pivotField showAll="0">
      <items count="10">
        <item x="1"/>
        <item x="0"/>
        <item x="5"/>
        <item x="3"/>
        <item x="6"/>
        <item x="2"/>
        <item x="4"/>
        <item m="1" x="8"/>
        <item x="7"/>
        <item t="default"/>
      </items>
    </pivotField>
    <pivotField showAll="0">
      <items count="5">
        <item x="2"/>
        <item x="1"/>
        <item x="0"/>
        <item x="3"/>
        <item t="default"/>
      </items>
    </pivotField>
    <pivotField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multipleItemSelectionAllowed="1" showAll="0">
      <items count="4">
        <item x="0"/>
        <item x="1"/>
        <item h="1" x="2"/>
        <item t="default"/>
      </items>
    </pivotField>
    <pivotField showAll="0"/>
    <pivotField showAll="0"/>
  </pivotFields>
  <rowFields count="1">
    <field x="17"/>
  </rowFields>
  <rowItems count="3">
    <i>
      <x/>
    </i>
    <i>
      <x v="1"/>
    </i>
    <i t="grand">
      <x/>
    </i>
  </rowItems>
  <colItems count="1">
    <i/>
  </colItems>
  <dataFields count="1">
    <dataField name="Count of Status" fld="17" subtotal="count" baseField="0" baseItem="0"/>
  </dataFields>
  <chartFormats count="7">
    <chartFormat chart="1" format="734" series="1">
      <pivotArea type="data" outline="0" fieldPosition="0">
        <references count="1">
          <reference field="4294967294" count="1" selected="0">
            <x v="0"/>
          </reference>
        </references>
      </pivotArea>
    </chartFormat>
    <chartFormat chart="4" format="739" series="1">
      <pivotArea type="data" outline="0" fieldPosition="0">
        <references count="1">
          <reference field="4294967294" count="1" selected="0">
            <x v="0"/>
          </reference>
        </references>
      </pivotArea>
    </chartFormat>
    <chartFormat chart="4" format="740">
      <pivotArea type="data" outline="0" fieldPosition="0">
        <references count="2">
          <reference field="4294967294" count="1" selected="0">
            <x v="0"/>
          </reference>
          <reference field="17" count="1" selected="0">
            <x v="0"/>
          </reference>
        </references>
      </pivotArea>
    </chartFormat>
    <chartFormat chart="4" format="741">
      <pivotArea type="data" outline="0" fieldPosition="0">
        <references count="2">
          <reference field="4294967294" count="1" selected="0">
            <x v="0"/>
          </reference>
          <reference field="17" count="1" selected="0">
            <x v="1"/>
          </reference>
        </references>
      </pivotArea>
    </chartFormat>
    <chartFormat chart="4" format="742">
      <pivotArea type="data" outline="0" fieldPosition="0">
        <references count="2">
          <reference field="4294967294" count="1" selected="0">
            <x v="0"/>
          </reference>
          <reference field="17" count="1" selected="0">
            <x v="2"/>
          </reference>
        </references>
      </pivotArea>
    </chartFormat>
    <chartFormat chart="1" format="735">
      <pivotArea type="data" outline="0" fieldPosition="0">
        <references count="2">
          <reference field="4294967294" count="1" selected="0">
            <x v="0"/>
          </reference>
          <reference field="17" count="1" selected="0">
            <x v="0"/>
          </reference>
        </references>
      </pivotArea>
    </chartFormat>
    <chartFormat chart="1" format="73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D4567-D7CB-4E00-9A96-03CC00594C7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3" firstHeaderRow="1" firstDataRow="1" firstDataCol="1"/>
  <pivotFields count="20">
    <pivotField showAll="0">
      <items count="10">
        <item x="1"/>
        <item x="0"/>
        <item x="5"/>
        <item x="3"/>
        <item x="6"/>
        <item x="2"/>
        <item x="4"/>
        <item m="1" x="8"/>
        <item x="7"/>
        <item t="default"/>
      </items>
    </pivotField>
    <pivotField showAll="0">
      <items count="5">
        <item x="2"/>
        <item x="1"/>
        <item x="0"/>
        <item x="3"/>
        <item t="default"/>
      </items>
    </pivotField>
    <pivotField dataField="1"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10">
        <item x="6"/>
        <item x="4"/>
        <item x="3"/>
        <item x="0"/>
        <item x="2"/>
        <item x="1"/>
        <item x="5"/>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Count of PR #" fld="2"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7"/>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4" count="1" selected="0">
            <x v="0"/>
          </reference>
        </references>
      </pivotArea>
    </chartFormat>
    <chartFormat chart="4" format="16">
      <pivotArea type="data" outline="0" fieldPosition="0">
        <references count="2">
          <reference field="4294967294" count="1" selected="0">
            <x v="0"/>
          </reference>
          <reference field="4" count="1" selected="0">
            <x v="1"/>
          </reference>
        </references>
      </pivotArea>
    </chartFormat>
    <chartFormat chart="4" format="17">
      <pivotArea type="data" outline="0" fieldPosition="0">
        <references count="2">
          <reference field="4294967294" count="1" selected="0">
            <x v="0"/>
          </reference>
          <reference field="4" count="1" selected="0">
            <x v="2"/>
          </reference>
        </references>
      </pivotArea>
    </chartFormat>
    <chartFormat chart="4" format="18">
      <pivotArea type="data" outline="0" fieldPosition="0">
        <references count="2">
          <reference field="4294967294" count="1" selected="0">
            <x v="0"/>
          </reference>
          <reference field="4" count="1" selected="0">
            <x v="3"/>
          </reference>
        </references>
      </pivotArea>
    </chartFormat>
    <chartFormat chart="4" format="19">
      <pivotArea type="data" outline="0" fieldPosition="0">
        <references count="2">
          <reference field="4294967294" count="1" selected="0">
            <x v="0"/>
          </reference>
          <reference field="4" count="1" selected="0">
            <x v="4"/>
          </reference>
        </references>
      </pivotArea>
    </chartFormat>
    <chartFormat chart="4" format="20">
      <pivotArea type="data" outline="0" fieldPosition="0">
        <references count="2">
          <reference field="4294967294" count="1" selected="0">
            <x v="0"/>
          </reference>
          <reference field="4" count="1" selected="0">
            <x v="5"/>
          </reference>
        </references>
      </pivotArea>
    </chartFormat>
    <chartFormat chart="4" format="21">
      <pivotArea type="data" outline="0" fieldPosition="0">
        <references count="2">
          <reference field="4294967294" count="1" selected="0">
            <x v="0"/>
          </reference>
          <reference field="4" count="1" selected="0">
            <x v="6"/>
          </reference>
        </references>
      </pivotArea>
    </chartFormat>
    <chartFormat chart="4" format="22">
      <pivotArea type="data" outline="0" fieldPosition="0">
        <references count="2">
          <reference field="4294967294" count="1" selected="0">
            <x v="0"/>
          </reference>
          <reference field="4" count="1" selected="0">
            <x v="7"/>
          </reference>
        </references>
      </pivotArea>
    </chartFormat>
    <chartFormat chart="4" format="23">
      <pivotArea type="data" outline="0" fieldPosition="0">
        <references count="2">
          <reference field="4294967294" count="1" selected="0">
            <x v="0"/>
          </reference>
          <reference field="4" count="1" selected="0">
            <x v="8"/>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0" format="7">
      <pivotArea type="data" outline="0" fieldPosition="0">
        <references count="2">
          <reference field="4294967294" count="1" selected="0">
            <x v="0"/>
          </reference>
          <reference field="4" count="1" selected="0">
            <x v="5"/>
          </reference>
        </references>
      </pivotArea>
    </chartFormat>
    <chartFormat chart="0" format="8">
      <pivotArea type="data" outline="0" fieldPosition="0">
        <references count="2">
          <reference field="4294967294" count="1" selected="0">
            <x v="0"/>
          </reference>
          <reference field="4" count="1" selected="0">
            <x v="6"/>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4C5A42-CBC8-4F2D-A896-6285E512C00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2" firstHeaderRow="1" firstDataRow="1" firstDataCol="1"/>
  <pivotFields count="20">
    <pivotField axis="axisRow" showAll="0" sortType="ascending">
      <items count="10">
        <item x="1"/>
        <item x="0"/>
        <item x="5"/>
        <item x="3"/>
        <item x="6"/>
        <item x="2"/>
        <item x="4"/>
        <item m="1" x="8"/>
        <item x="7"/>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dataField="1"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
    <i>
      <x v="8"/>
    </i>
    <i>
      <x v="2"/>
    </i>
    <i>
      <x v="1"/>
    </i>
    <i>
      <x v="5"/>
    </i>
    <i>
      <x v="6"/>
    </i>
    <i>
      <x/>
    </i>
    <i>
      <x v="3"/>
    </i>
    <i>
      <x v="4"/>
    </i>
    <i t="grand">
      <x/>
    </i>
  </rowItems>
  <colItems count="1">
    <i/>
  </colItems>
  <dataFields count="1">
    <dataField name="Count of PR #" fld="2" subtotal="count" baseField="0" baseItem="0"/>
  </dataFields>
  <chartFormats count="2">
    <chartFormat chart="1"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27B499-D2AA-40E5-AA85-ACB3DE00EEE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20">
    <pivotField showAll="0">
      <items count="10">
        <item x="1"/>
        <item x="0"/>
        <item x="5"/>
        <item x="3"/>
        <item x="6"/>
        <item x="2"/>
        <item x="4"/>
        <item m="1" x="8"/>
        <item x="7"/>
        <item t="default"/>
      </items>
    </pivotField>
    <pivotField showAll="0">
      <items count="5">
        <item x="2"/>
        <item x="1"/>
        <item x="0"/>
        <item x="3"/>
        <item t="default"/>
      </items>
    </pivotField>
    <pivotField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items count="37">
        <item x="34"/>
        <item x="32"/>
        <item x="33"/>
        <item x="0"/>
        <item x="1"/>
        <item x="2"/>
        <item x="3"/>
        <item x="4"/>
        <item x="5"/>
        <item x="6"/>
        <item x="7"/>
        <item x="8"/>
        <item x="9"/>
        <item x="10"/>
        <item x="11"/>
        <item x="12"/>
        <item x="13"/>
        <item x="14"/>
        <item x="15"/>
        <item x="16"/>
        <item x="17"/>
        <item x="18"/>
        <item x="19"/>
        <item x="20"/>
        <item x="21"/>
        <item x="22"/>
        <item x="23"/>
        <item x="28"/>
        <item x="29"/>
        <item x="30"/>
        <item x="31"/>
        <item x="24"/>
        <item x="25"/>
        <item x="26"/>
        <item x="27"/>
        <item x="35"/>
        <item t="default"/>
      </items>
    </pivotField>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filters count="1">
    <filter fld="15" type="dateBetween" evalOrder="-1" id="10" name="Delivery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8DBD71-22F4-4563-AD25-5BB003C6F3D2}" sourceName="Department">
  <pivotTables>
    <pivotTable tabId="6" name="PivotTable1"/>
    <pivotTable tabId="15" name="PivotTable9"/>
    <pivotTable tabId="13" name="PivotTable7"/>
    <pivotTable tabId="10" name="PivotTable3"/>
    <pivotTable tabId="14" name="PivotTable8"/>
    <pivotTable tabId="11" name="PivotTable4"/>
  </pivotTables>
  <data>
    <tabular pivotCacheId="90784577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FC9058C-AE0A-4076-9502-CCF407187875}" sourceName=" Name">
  <pivotTables>
    <pivotTable tabId="11" name="PivotTable4"/>
    <pivotTable tabId="15" name="PivotTable9"/>
    <pivotTable tabId="13" name="PivotTable7"/>
    <pivotTable tabId="10" name="PivotTable3"/>
    <pivotTable tabId="14" name="PivotTable8"/>
    <pivotTable tabId="6" name="PivotTable1"/>
  </pivotTables>
  <data>
    <tabular pivotCacheId="907845771">
      <items count="9">
        <i x="1" s="1"/>
        <i x="0" s="1"/>
        <i x="5" s="1"/>
        <i x="3" s="1"/>
        <i x="6" s="1"/>
        <i x="2" s="1"/>
        <i x="4" s="1"/>
        <i x="7"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 xr10:uid="{D2855718-827A-4A55-BE01-6B631CCD611C}" sourceName="PR #">
  <pivotTables>
    <pivotTable tabId="13" name="PivotTable7"/>
    <pivotTable tabId="15" name="PivotTable9"/>
    <pivotTable tabId="10" name="PivotTable3"/>
    <pivotTable tabId="14" name="PivotTable8"/>
    <pivotTable tabId="6" name="PivotTable1"/>
    <pivotTable tabId="11" name="PivotTable4"/>
  </pivotTables>
  <data>
    <tabular pivotCacheId="907845771">
      <items count="23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DC0A8EB-2E20-4DBF-ABD8-DCC8BB166A05}" cache="Slicer_Department" caption="Department" style="SlicerStyleDark1" rowHeight="257175"/>
  <slicer name=" Name" xr10:uid="{7ACD2679-8F04-4AA7-A49F-F1AF2AD65C91}" cache="Slicer_Name" caption=" Name" style="SlicerStyleDark1" rowHeight="257175"/>
  <slicer name="PR #" xr10:uid="{16D0B0BD-0C40-42F8-A6BE-ABAC85961F68}" cache="Slicer_PR" caption="PR #"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R_Date" xr10:uid="{D50FDA07-F8A5-44CB-82A2-D61C1F51D3D9}" sourceName="  PR Date">
  <pivotTables>
    <pivotTable tabId="15" name="PivotTable9"/>
    <pivotTable tabId="13" name="PivotTable7"/>
    <pivotTable tabId="10" name="PivotTable3"/>
    <pivotTable tabId="14" name="PivotTable8"/>
    <pivotTable tabId="6" name="PivotTable1"/>
    <pivotTable tabId="11" name="PivotTable4"/>
  </pivotTables>
  <state minimalRefreshVersion="6" lastRefreshVersion="6" pivotCacheId="907845771"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PR Date" xr10:uid="{52833556-0D92-4A03-93DA-3AB5A342DD5B}" cache="NativeTimeline_PR_Date" caption="  PR 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PR Date 1" xr10:uid="{782B3F71-6096-4D10-82E4-701C1102FEF0}" cache="NativeTimeline_PR_Date" caption="  PR Date" level="3" selectionLevel="3" scrollPosition="2025-09-28T00:00:00" style="TimeSlicerStyleDark1"/>
</timelines>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2.png"/></Relationships>
</file>

<file path=xl/webextensions/_rels/webextension3.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79153248-F06F-452F-8F53-90D7806F00D2}">
  <we:reference id="wa102957665" version="1.3.0.0" store="en-US" storeType="OMEX"/>
  <we:alternateReferences>
    <we:reference id="WA102957665" version="1.3.0.0" store="WA102957665" storeType="OMEX"/>
  </we:alternateReferences>
  <we:properties>
    <we:property name="opt_cal_sys" value="1"/>
    <we:property name="opt_wn" value="false"/>
    <we:property name="opt_theme" value="1"/>
    <we:property name="opt_size" value="0"/>
    <we:property name="opt_confirm" value="true"/>
  </we:properties>
  <we:bindings/>
  <we:snapshot xmlns:r="http://schemas.openxmlformats.org/officeDocument/2006/relationships" r:embed="rId1"/>
</we:webextension>
</file>

<file path=xl/webextensions/webextension2.xml><?xml version="1.0" encoding="utf-8"?>
<we:webextension xmlns:we="http://schemas.microsoft.com/office/webextensions/webextension/2010/11" id="{F91EA16F-5414-4D75-A8AF-CDFC1DF4E84F}">
  <we:reference id="wa102957665" version="1.3.0.0" store="en-US" storeType="OMEX"/>
  <we:alternateReferences>
    <we:reference id="WA102957665" version="1.3.0.0" store="WA102957665" storeType="OMEX"/>
  </we:alternateReferences>
  <we:properties>
    <we:property name="opt_cal_sys" value="1"/>
    <we:property name="opt_wn" value="false"/>
    <we:property name="opt_theme" value="1"/>
    <we:property name="opt_size" value="0"/>
    <we:property name="opt_confirm" value="true"/>
  </we:properties>
  <we:bindings/>
  <we:snapshot xmlns:r="http://schemas.openxmlformats.org/officeDocument/2006/relationships" r:embed="rId1"/>
</we:webextension>
</file>

<file path=xl/webextensions/webextension3.xml><?xml version="1.0" encoding="utf-8"?>
<we:webextension xmlns:we="http://schemas.microsoft.com/office/webextensions/webextension/2010/11" id="{36773B40-7FCC-49C6-B455-C5D455E23837}">
  <we:reference id="wa102957665" version="1.3.0.0" store="en-US" storeType="OMEX"/>
  <we:alternateReferences>
    <we:reference id="WA102957665" version="1.3.0.0" store="WA102957665" storeType="OMEX"/>
  </we:alternateReferences>
  <we:properties>
    <we:property name="opt_cal_sys" value="1"/>
    <we:property name="opt_wn" value="false"/>
    <we:property name="opt_theme" value="1"/>
    <we:property name="opt_size" value="0"/>
    <we:property name="opt_confirm" value="true"/>
  </we:properties>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0B32-E034-4541-B882-32FF391CF97D}">
  <sheetPr>
    <tabColor theme="8"/>
  </sheetPr>
  <dimension ref="A1:R235"/>
  <sheetViews>
    <sheetView zoomScale="49" zoomScaleNormal="60" workbookViewId="0">
      <pane ySplit="1" topLeftCell="A2" activePane="bottomLeft" state="frozen"/>
      <selection pane="bottomLeft" activeCell="D61" sqref="D61"/>
    </sheetView>
  </sheetViews>
  <sheetFormatPr defaultColWidth="9.01171875" defaultRowHeight="15" x14ac:dyDescent="0.2"/>
  <cols>
    <col min="1" max="1" width="13.85546875" style="13" customWidth="1"/>
    <col min="2" max="2" width="14.796875" style="13" customWidth="1"/>
    <col min="3" max="3" width="46.8125" style="13" bestFit="1" customWidth="1"/>
    <col min="4" max="4" width="35.37890625" style="14" customWidth="1"/>
    <col min="5" max="5" width="80.4453125" style="13" customWidth="1"/>
    <col min="6" max="6" width="28.515625" style="13" customWidth="1"/>
    <col min="7" max="7" width="28.11328125" style="13" customWidth="1"/>
    <col min="8" max="8" width="45.6015625" style="16" bestFit="1" customWidth="1"/>
    <col min="9" max="9" width="31.07421875" style="14" customWidth="1"/>
    <col min="10" max="10" width="11.43359375" style="16" customWidth="1"/>
    <col min="11" max="11" width="33.359375" style="16" customWidth="1"/>
    <col min="12" max="12" width="23" style="13" customWidth="1"/>
    <col min="13" max="13" width="50.17578125" style="14" bestFit="1" customWidth="1"/>
    <col min="14" max="14" width="29.59375" style="14" bestFit="1" customWidth="1"/>
    <col min="15" max="15" width="14.9296875" style="13" bestFit="1" customWidth="1"/>
    <col min="16" max="16" width="20.17578125" style="13" customWidth="1"/>
    <col min="17" max="17" width="17.08203125" style="17" bestFit="1" customWidth="1"/>
    <col min="18" max="18" width="22.328125" style="16" bestFit="1" customWidth="1"/>
    <col min="19" max="16384" width="9.01171875" style="13"/>
  </cols>
  <sheetData>
    <row r="1" spans="1:18" x14ac:dyDescent="0.2">
      <c r="A1" s="1" t="s">
        <v>1</v>
      </c>
      <c r="B1" s="1" t="s">
        <v>2</v>
      </c>
      <c r="C1" s="2" t="s">
        <v>490</v>
      </c>
      <c r="D1" s="3" t="s">
        <v>725</v>
      </c>
      <c r="E1" s="4" t="s">
        <v>726</v>
      </c>
      <c r="F1" s="5" t="s">
        <v>730</v>
      </c>
      <c r="G1" s="2" t="s">
        <v>7</v>
      </c>
      <c r="H1" s="6" t="s">
        <v>8</v>
      </c>
      <c r="I1" s="7" t="s">
        <v>9</v>
      </c>
      <c r="J1" s="8" t="s">
        <v>10</v>
      </c>
      <c r="K1" s="8" t="s">
        <v>11</v>
      </c>
      <c r="L1" s="9" t="s">
        <v>12</v>
      </c>
      <c r="M1" s="7" t="s">
        <v>13</v>
      </c>
      <c r="N1" s="10" t="s">
        <v>14</v>
      </c>
      <c r="O1" s="9" t="s">
        <v>15</v>
      </c>
      <c r="P1" s="9" t="s">
        <v>16</v>
      </c>
      <c r="Q1" s="11" t="s">
        <v>17</v>
      </c>
      <c r="R1" s="12" t="s">
        <v>18</v>
      </c>
    </row>
    <row r="2" spans="1:18" x14ac:dyDescent="0.2">
      <c r="A2" s="13" t="s">
        <v>488</v>
      </c>
      <c r="B2" s="13" t="s">
        <v>481</v>
      </c>
      <c r="C2" s="13" t="s">
        <v>491</v>
      </c>
      <c r="D2" s="14">
        <v>45933</v>
      </c>
      <c r="E2" s="13" t="s">
        <v>21</v>
      </c>
      <c r="F2" s="13" t="s">
        <v>22</v>
      </c>
      <c r="G2" s="15">
        <v>4930</v>
      </c>
      <c r="H2" s="16">
        <v>7</v>
      </c>
      <c r="I2" s="14">
        <v>45483</v>
      </c>
      <c r="J2" s="16">
        <f ca="1">IF(ISBLANK(I2),TODAY()-D2,I2-D2)</f>
        <v>-450</v>
      </c>
      <c r="K2" s="16" t="str" cm="1">
        <f t="array" aca="1" ref="K2" ca="1">_xlfn.IFS(J2&gt;=H2,"0",J2&lt;H2,"100")</f>
        <v>100</v>
      </c>
      <c r="L2" s="13" t="s">
        <v>23</v>
      </c>
      <c r="O2" s="13" t="s">
        <v>24</v>
      </c>
      <c r="Q2" s="17">
        <f t="shared" ref="Q2:Q65" ca="1" si="0">-J2/H2</f>
        <v>64.285714285714292</v>
      </c>
      <c r="R2" s="16" t="s">
        <v>25</v>
      </c>
    </row>
    <row r="3" spans="1:18" x14ac:dyDescent="0.2">
      <c r="A3" s="13" t="s">
        <v>479</v>
      </c>
      <c r="B3" s="13" t="s">
        <v>480</v>
      </c>
      <c r="C3" s="13" t="s">
        <v>492</v>
      </c>
      <c r="D3" s="14">
        <v>45934</v>
      </c>
      <c r="E3" s="13" t="s">
        <v>28</v>
      </c>
      <c r="F3" s="13" t="s">
        <v>29</v>
      </c>
      <c r="G3" s="15">
        <v>475</v>
      </c>
      <c r="H3" s="16">
        <v>7</v>
      </c>
      <c r="I3" s="14">
        <v>45538</v>
      </c>
      <c r="J3" s="16">
        <v>0</v>
      </c>
      <c r="K3" s="16" t="str" cm="1">
        <f t="array" ref="K3">_xlfn.IFS(J3&gt;=H3,"0",J3&lt;H3,"100")</f>
        <v>100</v>
      </c>
      <c r="L3" s="13" t="s">
        <v>30</v>
      </c>
      <c r="M3" s="14" t="s">
        <v>31</v>
      </c>
      <c r="N3" s="14">
        <v>45568</v>
      </c>
      <c r="O3" s="13" t="s">
        <v>24</v>
      </c>
      <c r="P3" s="13" t="s">
        <v>32</v>
      </c>
      <c r="Q3" s="17">
        <f t="shared" si="0"/>
        <v>0</v>
      </c>
      <c r="R3" s="16" t="s">
        <v>25</v>
      </c>
    </row>
    <row r="4" spans="1:18" x14ac:dyDescent="0.2">
      <c r="A4" s="13" t="s">
        <v>479</v>
      </c>
      <c r="B4" s="13" t="s">
        <v>480</v>
      </c>
      <c r="C4" s="13" t="s">
        <v>493</v>
      </c>
      <c r="D4" s="14">
        <v>45935</v>
      </c>
      <c r="E4" s="13" t="s">
        <v>34</v>
      </c>
      <c r="F4" s="13" t="s">
        <v>35</v>
      </c>
      <c r="G4" s="15">
        <v>400</v>
      </c>
      <c r="H4" s="16">
        <v>7</v>
      </c>
      <c r="I4" s="14">
        <v>45571</v>
      </c>
      <c r="J4" s="16">
        <f ca="1">IF(ISBLANK(I4),TODAY()-D4,I4-D4)</f>
        <v>-364</v>
      </c>
      <c r="K4" s="16" t="str" cm="1">
        <f t="array" aca="1" ref="K4" ca="1">_xlfn.IFS(J4&gt;=H4,"0",J4&lt;H4,"100")</f>
        <v>100</v>
      </c>
      <c r="L4" s="13" t="s">
        <v>36</v>
      </c>
      <c r="M4" s="14" t="s">
        <v>37</v>
      </c>
      <c r="N4" s="14" t="s">
        <v>37</v>
      </c>
      <c r="O4" s="13" t="s">
        <v>24</v>
      </c>
      <c r="P4" s="13" t="s">
        <v>32</v>
      </c>
      <c r="Q4" s="17">
        <f t="shared" ca="1" si="0"/>
        <v>52</v>
      </c>
      <c r="R4" s="16" t="s">
        <v>25</v>
      </c>
    </row>
    <row r="5" spans="1:18" x14ac:dyDescent="0.2">
      <c r="A5" s="13" t="s">
        <v>479</v>
      </c>
      <c r="B5" s="13" t="s">
        <v>480</v>
      </c>
      <c r="C5" s="13" t="s">
        <v>494</v>
      </c>
      <c r="D5" s="14">
        <v>45936</v>
      </c>
      <c r="E5" s="13" t="s">
        <v>39</v>
      </c>
      <c r="F5" s="13" t="s">
        <v>40</v>
      </c>
      <c r="G5" s="15">
        <v>6095</v>
      </c>
      <c r="H5" s="16">
        <v>7</v>
      </c>
      <c r="I5" s="14">
        <v>45538</v>
      </c>
      <c r="J5" s="16">
        <v>0</v>
      </c>
      <c r="K5" s="16" t="str" cm="1">
        <f t="array" ref="K5">_xlfn.IFS(J5&gt;=H5,"0",J5&lt;H5,"100")</f>
        <v>100</v>
      </c>
      <c r="L5" s="13" t="s">
        <v>41</v>
      </c>
      <c r="M5" s="14" t="s">
        <v>31</v>
      </c>
      <c r="N5" s="14">
        <v>45568</v>
      </c>
      <c r="O5" s="13" t="s">
        <v>24</v>
      </c>
      <c r="P5" s="13" t="s">
        <v>32</v>
      </c>
      <c r="Q5" s="17">
        <f t="shared" si="0"/>
        <v>0</v>
      </c>
      <c r="R5" s="16" t="s">
        <v>25</v>
      </c>
    </row>
    <row r="6" spans="1:18" x14ac:dyDescent="0.2">
      <c r="A6" s="13" t="s">
        <v>479</v>
      </c>
      <c r="B6" s="13" t="s">
        <v>480</v>
      </c>
      <c r="C6" s="13" t="s">
        <v>495</v>
      </c>
      <c r="D6" s="14">
        <v>45937</v>
      </c>
      <c r="E6" s="13" t="s">
        <v>43</v>
      </c>
      <c r="F6" s="13" t="s">
        <v>44</v>
      </c>
      <c r="G6" s="15">
        <v>1080</v>
      </c>
      <c r="H6" s="16">
        <v>7</v>
      </c>
      <c r="I6" s="14">
        <v>45568</v>
      </c>
      <c r="J6" s="16">
        <f t="shared" ref="J6:J59" ca="1" si="1">IF(ISBLANK(I6),TODAY()-D6,I6-D6)</f>
        <v>-369</v>
      </c>
      <c r="K6" s="16" t="str" cm="1">
        <f t="array" aca="1" ref="K6" ca="1">_xlfn.IFS(J6&gt;=H6,"0",J6&lt;H6,"100")</f>
        <v>100</v>
      </c>
      <c r="L6" s="13" t="s">
        <v>45</v>
      </c>
      <c r="M6" s="14" t="s">
        <v>31</v>
      </c>
      <c r="N6" s="14">
        <v>45483</v>
      </c>
      <c r="O6" s="13" t="s">
        <v>24</v>
      </c>
      <c r="P6" s="13" t="s">
        <v>32</v>
      </c>
      <c r="Q6" s="17">
        <f t="shared" ca="1" si="0"/>
        <v>52.714285714285715</v>
      </c>
      <c r="R6" s="16" t="s">
        <v>25</v>
      </c>
    </row>
    <row r="7" spans="1:18" x14ac:dyDescent="0.2">
      <c r="A7" s="13" t="s">
        <v>479</v>
      </c>
      <c r="B7" s="13" t="s">
        <v>480</v>
      </c>
      <c r="C7" s="13" t="s">
        <v>496</v>
      </c>
      <c r="D7" s="14">
        <v>45938</v>
      </c>
      <c r="E7" s="13" t="s">
        <v>48</v>
      </c>
      <c r="F7" s="13" t="s">
        <v>49</v>
      </c>
      <c r="G7" s="13">
        <v>350000</v>
      </c>
      <c r="H7" s="16">
        <v>15</v>
      </c>
      <c r="I7" s="14">
        <v>45568</v>
      </c>
      <c r="J7" s="16">
        <f t="shared" ca="1" si="1"/>
        <v>-370</v>
      </c>
      <c r="K7" s="16" t="str" cm="1">
        <f t="array" aca="1" ref="K7" ca="1">_xlfn.IFS(J7&gt;=H7,"0",J7&lt;H7,"100")</f>
        <v>100</v>
      </c>
      <c r="L7" s="13" t="s">
        <v>50</v>
      </c>
      <c r="O7" s="13" t="s">
        <v>51</v>
      </c>
      <c r="P7" s="13" t="s">
        <v>52</v>
      </c>
      <c r="Q7" s="17">
        <f t="shared" ca="1" si="0"/>
        <v>24.666666666666668</v>
      </c>
      <c r="R7" s="16" t="s">
        <v>25</v>
      </c>
    </row>
    <row r="8" spans="1:18" x14ac:dyDescent="0.2">
      <c r="A8" s="13" t="s">
        <v>479</v>
      </c>
      <c r="B8" s="13" t="s">
        <v>480</v>
      </c>
      <c r="C8" s="13" t="s">
        <v>497</v>
      </c>
      <c r="D8" s="14">
        <v>45939</v>
      </c>
      <c r="E8" s="13" t="s">
        <v>54</v>
      </c>
      <c r="F8" s="13" t="s">
        <v>49</v>
      </c>
      <c r="G8" s="13">
        <v>7750</v>
      </c>
      <c r="H8" s="16">
        <v>7</v>
      </c>
      <c r="I8" s="14">
        <v>45573</v>
      </c>
      <c r="J8" s="16">
        <f t="shared" ca="1" si="1"/>
        <v>-366</v>
      </c>
      <c r="K8" s="16" t="str" cm="1">
        <f t="array" aca="1" ref="K8" ca="1">_xlfn.IFS(J8&gt;=H8,"0",J8&lt;H8,"100")</f>
        <v>100</v>
      </c>
      <c r="L8" s="13" t="s">
        <v>55</v>
      </c>
      <c r="O8" s="13" t="s">
        <v>51</v>
      </c>
      <c r="Q8" s="17">
        <f t="shared" ca="1" si="0"/>
        <v>52.285714285714285</v>
      </c>
      <c r="R8" s="16" t="s">
        <v>25</v>
      </c>
    </row>
    <row r="9" spans="1:18" x14ac:dyDescent="0.2">
      <c r="A9" s="13" t="s">
        <v>479</v>
      </c>
      <c r="B9" s="13" t="s">
        <v>480</v>
      </c>
      <c r="C9" s="13" t="s">
        <v>498</v>
      </c>
      <c r="D9" s="14">
        <v>45940</v>
      </c>
      <c r="E9" s="13" t="s">
        <v>56</v>
      </c>
      <c r="F9" s="13" t="s">
        <v>49</v>
      </c>
      <c r="G9" s="13">
        <v>200000</v>
      </c>
      <c r="H9" s="16">
        <v>15</v>
      </c>
      <c r="J9" s="16">
        <f t="shared" ca="1" si="1"/>
        <v>25</v>
      </c>
      <c r="K9" s="16" t="str" cm="1">
        <f t="array" aca="1" ref="K9" ca="1">_xlfn.IFS(J9&gt;=H9,"0",J9&lt;H9,"100")</f>
        <v>0</v>
      </c>
      <c r="L9" s="13" t="s">
        <v>57</v>
      </c>
      <c r="O9" s="13" t="s">
        <v>51</v>
      </c>
      <c r="P9" s="13" t="s">
        <v>52</v>
      </c>
      <c r="Q9" s="17">
        <f t="shared" ca="1" si="0"/>
        <v>-1.6666666666666667</v>
      </c>
      <c r="R9" s="16" t="s">
        <v>25</v>
      </c>
    </row>
    <row r="10" spans="1:18" x14ac:dyDescent="0.2">
      <c r="A10" s="13" t="s">
        <v>479</v>
      </c>
      <c r="B10" s="13" t="s">
        <v>480</v>
      </c>
      <c r="C10" s="13" t="s">
        <v>499</v>
      </c>
      <c r="D10" s="14">
        <v>45941</v>
      </c>
      <c r="E10" s="13" t="s">
        <v>59</v>
      </c>
      <c r="F10" s="13" t="s">
        <v>60</v>
      </c>
      <c r="G10" s="13">
        <v>2000</v>
      </c>
      <c r="H10" s="16">
        <v>7</v>
      </c>
      <c r="I10" s="14">
        <v>45573</v>
      </c>
      <c r="J10" s="16">
        <f t="shared" ca="1" si="1"/>
        <v>-368</v>
      </c>
      <c r="K10" s="16" t="str" cm="1">
        <f t="array" aca="1" ref="K10" ca="1">_xlfn.IFS(J10&gt;=H10,"0",J10&lt;H10,"100")</f>
        <v>100</v>
      </c>
      <c r="L10" s="13" t="s">
        <v>61</v>
      </c>
      <c r="O10" s="13" t="s">
        <v>51</v>
      </c>
      <c r="Q10" s="17">
        <f t="shared" ca="1" si="0"/>
        <v>52.571428571428569</v>
      </c>
    </row>
    <row r="11" spans="1:18" x14ac:dyDescent="0.2">
      <c r="A11" s="13" t="s">
        <v>479</v>
      </c>
      <c r="B11" s="13" t="s">
        <v>480</v>
      </c>
      <c r="C11" s="13" t="s">
        <v>500</v>
      </c>
      <c r="D11" s="14">
        <v>45942</v>
      </c>
      <c r="E11" s="13" t="s">
        <v>63</v>
      </c>
      <c r="F11" s="13" t="s">
        <v>49</v>
      </c>
      <c r="G11" s="13">
        <v>298500</v>
      </c>
      <c r="H11" s="16">
        <v>15</v>
      </c>
      <c r="J11" s="16">
        <f t="shared" ca="1" si="1"/>
        <v>23</v>
      </c>
      <c r="K11" s="16" t="str" cm="1">
        <f t="array" aca="1" ref="K11" ca="1">_xlfn.IFS(J11&gt;=H11,"0",J11&lt;H11,"100")</f>
        <v>0</v>
      </c>
      <c r="L11" s="13" t="s">
        <v>64</v>
      </c>
      <c r="O11" s="13" t="s">
        <v>51</v>
      </c>
      <c r="Q11" s="17">
        <f t="shared" ca="1" si="0"/>
        <v>-1.5333333333333334</v>
      </c>
    </row>
    <row r="12" spans="1:18" x14ac:dyDescent="0.2">
      <c r="A12" s="13" t="s">
        <v>479</v>
      </c>
      <c r="B12" s="13" t="s">
        <v>480</v>
      </c>
      <c r="C12" s="13" t="s">
        <v>501</v>
      </c>
      <c r="D12" s="14">
        <v>45943</v>
      </c>
      <c r="E12" s="13" t="s">
        <v>66</v>
      </c>
      <c r="F12" s="13" t="s">
        <v>67</v>
      </c>
      <c r="G12" s="18">
        <v>801</v>
      </c>
      <c r="H12" s="16">
        <v>7</v>
      </c>
      <c r="I12" s="14">
        <v>45573</v>
      </c>
      <c r="J12" s="16">
        <f t="shared" ca="1" si="1"/>
        <v>-370</v>
      </c>
      <c r="K12" s="16" t="str" cm="1">
        <f t="array" aca="1" ref="K12" ca="1">_xlfn.IFS(J12&gt;=H12,"0",J12&lt;H12,"100")</f>
        <v>100</v>
      </c>
      <c r="L12" s="13" t="s">
        <v>68</v>
      </c>
      <c r="O12" s="13" t="s">
        <v>51</v>
      </c>
      <c r="Q12" s="17">
        <f t="shared" ca="1" si="0"/>
        <v>52.857142857142854</v>
      </c>
    </row>
    <row r="13" spans="1:18" x14ac:dyDescent="0.2">
      <c r="A13" s="13" t="s">
        <v>479</v>
      </c>
      <c r="B13" s="13" t="s">
        <v>480</v>
      </c>
      <c r="C13" s="13" t="s">
        <v>502</v>
      </c>
      <c r="D13" s="14">
        <v>45944</v>
      </c>
      <c r="E13" s="13" t="s">
        <v>70</v>
      </c>
      <c r="F13" s="13" t="s">
        <v>71</v>
      </c>
      <c r="G13" s="13">
        <v>266760</v>
      </c>
      <c r="H13" s="16">
        <v>15</v>
      </c>
      <c r="I13" s="14">
        <v>45572</v>
      </c>
      <c r="J13" s="16">
        <f t="shared" ca="1" si="1"/>
        <v>-372</v>
      </c>
      <c r="K13" s="16" t="str" cm="1">
        <f t="array" aca="1" ref="K13" ca="1">_xlfn.IFS(J13&gt;=H13,"0",J13&lt;H13,"100")</f>
        <v>100</v>
      </c>
      <c r="L13" s="13" t="s">
        <v>72</v>
      </c>
      <c r="O13" s="13" t="s">
        <v>51</v>
      </c>
      <c r="Q13" s="17">
        <f t="shared" ca="1" si="0"/>
        <v>24.8</v>
      </c>
    </row>
    <row r="14" spans="1:18" x14ac:dyDescent="0.2">
      <c r="A14" s="13" t="s">
        <v>484</v>
      </c>
      <c r="B14" s="13" t="s">
        <v>480</v>
      </c>
      <c r="C14" s="13" t="s">
        <v>503</v>
      </c>
      <c r="D14" s="14">
        <v>45945</v>
      </c>
      <c r="E14" s="13" t="s">
        <v>75</v>
      </c>
      <c r="F14" s="13" t="s">
        <v>20</v>
      </c>
      <c r="G14" s="13" t="s">
        <v>76</v>
      </c>
      <c r="H14" s="16">
        <v>7</v>
      </c>
      <c r="I14" s="14">
        <v>45568</v>
      </c>
      <c r="J14" s="16">
        <f t="shared" ca="1" si="1"/>
        <v>-377</v>
      </c>
      <c r="K14" s="16" t="str" cm="1">
        <f t="array" aca="1" ref="K14" ca="1">_xlfn.IFS(J14&gt;=H14,"0",J14&lt;H14,"100")</f>
        <v>100</v>
      </c>
      <c r="M14" s="14">
        <v>45361</v>
      </c>
      <c r="N14" s="14">
        <v>45361</v>
      </c>
      <c r="O14" s="13" t="s">
        <v>51</v>
      </c>
      <c r="Q14" s="17">
        <f t="shared" ca="1" si="0"/>
        <v>53.857142857142854</v>
      </c>
    </row>
    <row r="15" spans="1:18" x14ac:dyDescent="0.2">
      <c r="A15" s="13" t="s">
        <v>484</v>
      </c>
      <c r="B15" s="13" t="s">
        <v>480</v>
      </c>
      <c r="C15" s="13" t="s">
        <v>504</v>
      </c>
      <c r="D15" s="14">
        <v>45946</v>
      </c>
      <c r="E15" s="13" t="s">
        <v>78</v>
      </c>
      <c r="F15" s="13" t="s">
        <v>79</v>
      </c>
      <c r="G15" s="13" t="s">
        <v>80</v>
      </c>
      <c r="H15" s="16">
        <v>7</v>
      </c>
      <c r="I15" s="14">
        <v>45568</v>
      </c>
      <c r="J15" s="16">
        <f t="shared" ca="1" si="1"/>
        <v>-378</v>
      </c>
      <c r="K15" s="16" t="str" cm="1">
        <f t="array" aca="1" ref="K15" ca="1">_xlfn.IFS(J15&gt;=H15,"0",J15&lt;H15,"100")</f>
        <v>100</v>
      </c>
      <c r="M15" s="14">
        <v>45361</v>
      </c>
      <c r="N15" s="14">
        <v>45361</v>
      </c>
      <c r="O15" s="13" t="s">
        <v>51</v>
      </c>
      <c r="Q15" s="17">
        <f t="shared" ca="1" si="0"/>
        <v>54</v>
      </c>
    </row>
    <row r="16" spans="1:18" x14ac:dyDescent="0.2">
      <c r="A16" s="13" t="s">
        <v>484</v>
      </c>
      <c r="B16" s="13" t="s">
        <v>480</v>
      </c>
      <c r="C16" s="13" t="s">
        <v>505</v>
      </c>
      <c r="D16" s="14">
        <v>45947</v>
      </c>
      <c r="E16" s="13" t="s">
        <v>78</v>
      </c>
      <c r="F16" s="13" t="s">
        <v>82</v>
      </c>
      <c r="G16" s="13" t="s">
        <v>83</v>
      </c>
      <c r="H16" s="16">
        <v>7</v>
      </c>
      <c r="I16" s="14">
        <v>45568</v>
      </c>
      <c r="J16" s="16">
        <f t="shared" ca="1" si="1"/>
        <v>-379</v>
      </c>
      <c r="K16" s="16" t="str" cm="1">
        <f t="array" aca="1" ref="K16" ca="1">_xlfn.IFS(J16&gt;=H16,"0",J16&lt;H16,"100")</f>
        <v>100</v>
      </c>
      <c r="M16" s="14">
        <v>45361</v>
      </c>
      <c r="N16" s="14">
        <v>45361</v>
      </c>
      <c r="O16" s="13" t="s">
        <v>51</v>
      </c>
      <c r="Q16" s="17">
        <f t="shared" ca="1" si="0"/>
        <v>54.142857142857146</v>
      </c>
    </row>
    <row r="17" spans="1:17" x14ac:dyDescent="0.2">
      <c r="A17" s="13" t="s">
        <v>484</v>
      </c>
      <c r="B17" s="13" t="s">
        <v>480</v>
      </c>
      <c r="C17" s="13" t="s">
        <v>506</v>
      </c>
      <c r="D17" s="14">
        <v>45948</v>
      </c>
      <c r="E17" s="13" t="s">
        <v>85</v>
      </c>
      <c r="F17" s="13" t="s">
        <v>86</v>
      </c>
      <c r="G17" s="13" t="s">
        <v>87</v>
      </c>
      <c r="H17" s="16">
        <v>7</v>
      </c>
      <c r="I17" s="14">
        <v>45568</v>
      </c>
      <c r="J17" s="16">
        <f t="shared" ca="1" si="1"/>
        <v>-380</v>
      </c>
      <c r="K17" s="16" t="str" cm="1">
        <f t="array" aca="1" ref="K17" ca="1">_xlfn.IFS(J17&gt;=H17,"0",J17&lt;H17,"100")</f>
        <v>100</v>
      </c>
      <c r="M17" s="14">
        <v>45361</v>
      </c>
      <c r="N17" s="14">
        <v>45422</v>
      </c>
      <c r="O17" s="13" t="s">
        <v>51</v>
      </c>
      <c r="Q17" s="17">
        <f t="shared" ca="1" si="0"/>
        <v>54.285714285714285</v>
      </c>
    </row>
    <row r="18" spans="1:17" x14ac:dyDescent="0.2">
      <c r="A18" s="13" t="s">
        <v>484</v>
      </c>
      <c r="B18" s="13" t="s">
        <v>480</v>
      </c>
      <c r="C18" s="13" t="s">
        <v>507</v>
      </c>
      <c r="D18" s="14">
        <v>45949</v>
      </c>
      <c r="E18" s="13" t="s">
        <v>85</v>
      </c>
      <c r="F18" s="13" t="s">
        <v>86</v>
      </c>
      <c r="G18" s="13">
        <v>191</v>
      </c>
      <c r="H18" s="16">
        <v>7</v>
      </c>
      <c r="I18" s="14">
        <v>45568</v>
      </c>
      <c r="J18" s="16">
        <f t="shared" ca="1" si="1"/>
        <v>-381</v>
      </c>
      <c r="K18" s="16" t="str" cm="1">
        <f t="array" aca="1" ref="K18" ca="1">_xlfn.IFS(J18&gt;=H18,"0",J18&lt;H18,"100")</f>
        <v>100</v>
      </c>
      <c r="M18" s="14">
        <v>45361</v>
      </c>
      <c r="N18" s="14">
        <v>45422</v>
      </c>
      <c r="O18" s="13" t="s">
        <v>51</v>
      </c>
      <c r="Q18" s="17">
        <f t="shared" ca="1" si="0"/>
        <v>54.428571428571431</v>
      </c>
    </row>
    <row r="19" spans="1:17" x14ac:dyDescent="0.2">
      <c r="A19" s="13" t="s">
        <v>484</v>
      </c>
      <c r="B19" s="13" t="s">
        <v>480</v>
      </c>
      <c r="C19" s="13" t="s">
        <v>508</v>
      </c>
      <c r="D19" s="14">
        <v>45950</v>
      </c>
      <c r="E19" s="13" t="s">
        <v>90</v>
      </c>
      <c r="F19" s="13" t="s">
        <v>91</v>
      </c>
      <c r="G19" s="13" t="s">
        <v>92</v>
      </c>
      <c r="H19" s="16">
        <v>7</v>
      </c>
      <c r="I19" s="14">
        <v>45572</v>
      </c>
      <c r="J19" s="16">
        <f t="shared" ca="1" si="1"/>
        <v>-378</v>
      </c>
      <c r="K19" s="16" t="str" cm="1">
        <f t="array" aca="1" ref="K19" ca="1">_xlfn.IFS(J19&gt;=H19,"0",J19&lt;H19,"100")</f>
        <v>100</v>
      </c>
      <c r="M19" s="14">
        <v>45514</v>
      </c>
      <c r="N19" s="14">
        <v>45514</v>
      </c>
      <c r="O19" s="13" t="s">
        <v>51</v>
      </c>
      <c r="Q19" s="17">
        <f t="shared" ca="1" si="0"/>
        <v>54</v>
      </c>
    </row>
    <row r="20" spans="1:17" x14ac:dyDescent="0.2">
      <c r="A20" s="13" t="s">
        <v>484</v>
      </c>
      <c r="B20" s="13" t="s">
        <v>480</v>
      </c>
      <c r="C20" s="13" t="s">
        <v>509</v>
      </c>
      <c r="D20" s="14">
        <v>45951</v>
      </c>
      <c r="E20" s="13" t="s">
        <v>94</v>
      </c>
      <c r="F20" s="13" t="s">
        <v>95</v>
      </c>
      <c r="G20" s="13" t="s">
        <v>96</v>
      </c>
      <c r="H20" s="16">
        <v>7</v>
      </c>
      <c r="I20" s="14">
        <v>45572</v>
      </c>
      <c r="J20" s="16">
        <f t="shared" ca="1" si="1"/>
        <v>-379</v>
      </c>
      <c r="K20" s="16" t="str" cm="1">
        <f t="array" aca="1" ref="K20" ca="1">_xlfn.IFS(J20&gt;=H20,"0",J20&lt;H20,"100")</f>
        <v>100</v>
      </c>
      <c r="M20" s="14">
        <v>45483</v>
      </c>
      <c r="N20" s="14">
        <v>45545</v>
      </c>
      <c r="O20" s="13" t="s">
        <v>51</v>
      </c>
      <c r="Q20" s="17">
        <f t="shared" ca="1" si="0"/>
        <v>54.142857142857146</v>
      </c>
    </row>
    <row r="21" spans="1:17" x14ac:dyDescent="0.2">
      <c r="A21" s="13" t="s">
        <v>484</v>
      </c>
      <c r="B21" s="13" t="s">
        <v>480</v>
      </c>
      <c r="C21" s="13" t="s">
        <v>510</v>
      </c>
      <c r="D21" s="14">
        <v>45952</v>
      </c>
      <c r="E21" s="13" t="s">
        <v>94</v>
      </c>
      <c r="F21" s="13" t="s">
        <v>98</v>
      </c>
      <c r="G21" s="13" t="s">
        <v>99</v>
      </c>
      <c r="H21" s="16">
        <v>7</v>
      </c>
      <c r="I21" s="14">
        <v>45572</v>
      </c>
      <c r="J21" s="16">
        <f t="shared" ca="1" si="1"/>
        <v>-380</v>
      </c>
      <c r="K21" s="16" t="str" cm="1">
        <f t="array" aca="1" ref="K21" ca="1">_xlfn.IFS(J21&gt;=H21,"0",J21&lt;H21,"100")</f>
        <v>100</v>
      </c>
      <c r="M21" s="14">
        <v>45483</v>
      </c>
      <c r="N21" s="14">
        <v>45545</v>
      </c>
      <c r="O21" s="13" t="s">
        <v>51</v>
      </c>
      <c r="Q21" s="17">
        <f t="shared" ca="1" si="0"/>
        <v>54.285714285714285</v>
      </c>
    </row>
    <row r="22" spans="1:17" x14ac:dyDescent="0.2">
      <c r="A22" s="13" t="s">
        <v>484</v>
      </c>
      <c r="B22" s="13" t="s">
        <v>480</v>
      </c>
      <c r="C22" s="13" t="s">
        <v>511</v>
      </c>
      <c r="D22" s="14">
        <v>45953</v>
      </c>
      <c r="E22" s="13" t="s">
        <v>102</v>
      </c>
      <c r="F22" s="13" t="s">
        <v>103</v>
      </c>
      <c r="G22" s="13" t="s">
        <v>104</v>
      </c>
      <c r="H22" s="16">
        <v>7</v>
      </c>
      <c r="I22" s="14">
        <v>45550</v>
      </c>
      <c r="J22" s="16">
        <f t="shared" ca="1" si="1"/>
        <v>-403</v>
      </c>
      <c r="K22" s="16" t="str" cm="1">
        <f t="array" aca="1" ref="K22" ca="1">_xlfn.IFS(J22&gt;=H22,"0",J22&lt;H22,"100")</f>
        <v>100</v>
      </c>
      <c r="M22" s="14">
        <v>45483</v>
      </c>
      <c r="N22" s="14">
        <v>45545</v>
      </c>
      <c r="O22" s="13" t="s">
        <v>51</v>
      </c>
      <c r="Q22" s="17">
        <f t="shared" ca="1" si="0"/>
        <v>57.571428571428569</v>
      </c>
    </row>
    <row r="23" spans="1:17" x14ac:dyDescent="0.2">
      <c r="A23" s="13" t="s">
        <v>486</v>
      </c>
      <c r="B23" s="13" t="s">
        <v>482</v>
      </c>
      <c r="C23" s="13" t="s">
        <v>512</v>
      </c>
      <c r="D23" s="14">
        <v>45954</v>
      </c>
      <c r="E23" s="13" t="s">
        <v>727</v>
      </c>
      <c r="F23" s="13" t="s">
        <v>107</v>
      </c>
      <c r="G23" s="15">
        <v>3474.15</v>
      </c>
      <c r="H23" s="16">
        <v>7</v>
      </c>
      <c r="I23" s="14" t="s">
        <v>108</v>
      </c>
      <c r="J23" s="16">
        <f t="shared" ca="1" si="1"/>
        <v>-401</v>
      </c>
      <c r="K23" s="16" t="str" cm="1">
        <f t="array" aca="1" ref="K23" ca="1">_xlfn.IFS(J23&gt;=H23,"0",J23&lt;H23,"100")</f>
        <v>100</v>
      </c>
      <c r="M23" s="14" t="s">
        <v>109</v>
      </c>
      <c r="N23" s="14">
        <v>45453</v>
      </c>
      <c r="O23" s="13" t="s">
        <v>24</v>
      </c>
      <c r="Q23" s="17">
        <f t="shared" ca="1" si="0"/>
        <v>57.285714285714285</v>
      </c>
    </row>
    <row r="24" spans="1:17" x14ac:dyDescent="0.2">
      <c r="A24" s="13" t="s">
        <v>484</v>
      </c>
      <c r="B24" s="13" t="s">
        <v>480</v>
      </c>
      <c r="C24" s="13" t="s">
        <v>513</v>
      </c>
      <c r="D24" s="14">
        <v>45955</v>
      </c>
      <c r="E24" s="13" t="s">
        <v>94</v>
      </c>
      <c r="F24" s="13" t="s">
        <v>111</v>
      </c>
      <c r="G24" s="13" t="s">
        <v>96</v>
      </c>
      <c r="H24" s="16">
        <v>7</v>
      </c>
      <c r="I24" s="14">
        <v>45572</v>
      </c>
      <c r="J24" s="16">
        <f t="shared" ca="1" si="1"/>
        <v>-383</v>
      </c>
      <c r="K24" s="16" t="str" cm="1">
        <f t="array" aca="1" ref="K24" ca="1">_xlfn.IFS(J24&gt;=H24,"0",J24&lt;H24,"100")</f>
        <v>100</v>
      </c>
      <c r="M24" s="14">
        <v>45483</v>
      </c>
      <c r="N24" s="14">
        <v>45545</v>
      </c>
      <c r="O24" s="13" t="s">
        <v>51</v>
      </c>
      <c r="Q24" s="17">
        <f t="shared" ca="1" si="0"/>
        <v>54.714285714285715</v>
      </c>
    </row>
    <row r="25" spans="1:17" x14ac:dyDescent="0.2">
      <c r="A25" s="13" t="s">
        <v>484</v>
      </c>
      <c r="B25" s="13" t="s">
        <v>480</v>
      </c>
      <c r="C25" s="13" t="s">
        <v>514</v>
      </c>
      <c r="D25" s="14">
        <v>45956</v>
      </c>
      <c r="E25" s="13" t="s">
        <v>114</v>
      </c>
      <c r="F25" s="13" t="s">
        <v>91</v>
      </c>
      <c r="G25" s="13">
        <v>1200</v>
      </c>
      <c r="H25" s="16">
        <v>7</v>
      </c>
      <c r="I25" s="14">
        <v>45567</v>
      </c>
      <c r="J25" s="16">
        <f t="shared" ca="1" si="1"/>
        <v>-389</v>
      </c>
      <c r="K25" s="16" t="str" cm="1">
        <f t="array" aca="1" ref="K25" ca="1">_xlfn.IFS(J25&gt;=H25,"0",J25&lt;H25,"100")</f>
        <v>100</v>
      </c>
      <c r="M25" s="14" t="s">
        <v>115</v>
      </c>
      <c r="N25" s="14">
        <v>45361</v>
      </c>
      <c r="O25" s="13" t="s">
        <v>51</v>
      </c>
      <c r="Q25" s="17">
        <f t="shared" ca="1" si="0"/>
        <v>55.571428571428569</v>
      </c>
    </row>
    <row r="26" spans="1:17" x14ac:dyDescent="0.2">
      <c r="A26" s="13" t="s">
        <v>484</v>
      </c>
      <c r="B26" s="13" t="s">
        <v>480</v>
      </c>
      <c r="C26" s="13" t="s">
        <v>515</v>
      </c>
      <c r="D26" s="14">
        <v>45957</v>
      </c>
      <c r="E26" s="13" t="s">
        <v>117</v>
      </c>
      <c r="F26" s="13" t="s">
        <v>118</v>
      </c>
      <c r="G26" s="13" t="s">
        <v>119</v>
      </c>
      <c r="H26" s="16">
        <v>7</v>
      </c>
      <c r="I26" s="14">
        <v>45572</v>
      </c>
      <c r="J26" s="16">
        <f t="shared" ca="1" si="1"/>
        <v>-385</v>
      </c>
      <c r="K26" s="16" t="str" cm="1">
        <f t="array" aca="1" ref="K26" ca="1">_xlfn.IFS(J26&gt;=H26,"0",J26&lt;H26,"100")</f>
        <v>100</v>
      </c>
      <c r="M26" s="14">
        <v>45483</v>
      </c>
      <c r="N26" s="14">
        <v>45575</v>
      </c>
      <c r="O26" s="13" t="s">
        <v>51</v>
      </c>
      <c r="Q26" s="17">
        <f t="shared" ca="1" si="0"/>
        <v>55</v>
      </c>
    </row>
    <row r="27" spans="1:17" x14ac:dyDescent="0.2">
      <c r="A27" s="13" t="s">
        <v>484</v>
      </c>
      <c r="B27" s="13" t="s">
        <v>480</v>
      </c>
      <c r="C27" s="13" t="s">
        <v>516</v>
      </c>
      <c r="D27" s="14">
        <v>45958</v>
      </c>
      <c r="E27" s="13" t="s">
        <v>121</v>
      </c>
      <c r="F27" s="13" t="s">
        <v>122</v>
      </c>
      <c r="G27" s="13">
        <v>500</v>
      </c>
      <c r="H27" s="16">
        <v>7</v>
      </c>
      <c r="I27" s="14">
        <v>45572</v>
      </c>
      <c r="J27" s="16">
        <f t="shared" ca="1" si="1"/>
        <v>-386</v>
      </c>
      <c r="K27" s="16" t="str" cm="1">
        <f t="array" aca="1" ref="K27" ca="1">_xlfn.IFS(J27&gt;=H27,"0",J27&lt;H27,"100")</f>
        <v>100</v>
      </c>
      <c r="M27" s="14">
        <v>45483</v>
      </c>
      <c r="O27" s="13" t="s">
        <v>51</v>
      </c>
      <c r="Q27" s="17">
        <f t="shared" ca="1" si="0"/>
        <v>55.142857142857146</v>
      </c>
    </row>
    <row r="28" spans="1:17" x14ac:dyDescent="0.2">
      <c r="A28" s="13" t="s">
        <v>486</v>
      </c>
      <c r="B28" s="13" t="s">
        <v>482</v>
      </c>
      <c r="C28" s="13" t="s">
        <v>517</v>
      </c>
      <c r="D28" s="14">
        <v>45959</v>
      </c>
      <c r="E28" s="13" t="s">
        <v>727</v>
      </c>
      <c r="F28" s="13" t="s">
        <v>125</v>
      </c>
      <c r="G28" s="15">
        <v>1150</v>
      </c>
      <c r="H28" s="16">
        <v>7</v>
      </c>
      <c r="I28" s="14" t="s">
        <v>126</v>
      </c>
      <c r="J28" s="16">
        <f t="shared" ca="1" si="1"/>
        <v>-400</v>
      </c>
      <c r="K28" s="16" t="str" cm="1">
        <f t="array" aca="1" ref="K28" ca="1">_xlfn.IFS(J28&gt;=H28,"0",J28&lt;H28,"100")</f>
        <v>100</v>
      </c>
      <c r="O28" s="13" t="s">
        <v>24</v>
      </c>
      <c r="Q28" s="17">
        <f t="shared" ca="1" si="0"/>
        <v>57.142857142857146</v>
      </c>
    </row>
    <row r="29" spans="1:17" x14ac:dyDescent="0.2">
      <c r="A29" s="13" t="s">
        <v>486</v>
      </c>
      <c r="B29" s="13" t="s">
        <v>482</v>
      </c>
      <c r="C29" s="13" t="s">
        <v>518</v>
      </c>
      <c r="D29" s="14">
        <v>45960</v>
      </c>
      <c r="E29" s="13" t="s">
        <v>727</v>
      </c>
      <c r="F29" s="13" t="s">
        <v>127</v>
      </c>
      <c r="G29" s="15">
        <v>7300.23</v>
      </c>
      <c r="H29" s="16">
        <v>7</v>
      </c>
      <c r="I29" s="14" t="s">
        <v>109</v>
      </c>
      <c r="J29" s="16">
        <f t="shared" ca="1" si="1"/>
        <v>-400</v>
      </c>
      <c r="K29" s="16" t="str" cm="1">
        <f t="array" aca="1" ref="K29" ca="1">_xlfn.IFS(J29&gt;=H29,"0",J29&lt;H29,"100")</f>
        <v>100</v>
      </c>
      <c r="L29" s="13">
        <v>101686</v>
      </c>
      <c r="M29" s="14" t="s">
        <v>128</v>
      </c>
      <c r="N29" s="14">
        <v>45483</v>
      </c>
      <c r="O29" s="13" t="s">
        <v>24</v>
      </c>
      <c r="Q29" s="17">
        <f t="shared" ca="1" si="0"/>
        <v>57.142857142857146</v>
      </c>
    </row>
    <row r="30" spans="1:17" x14ac:dyDescent="0.2">
      <c r="A30" s="13" t="s">
        <v>486</v>
      </c>
      <c r="B30" s="13" t="s">
        <v>482</v>
      </c>
      <c r="C30" s="13" t="s">
        <v>519</v>
      </c>
      <c r="D30" s="14">
        <v>45961</v>
      </c>
      <c r="E30" s="13" t="s">
        <v>727</v>
      </c>
      <c r="F30" s="13" t="s">
        <v>130</v>
      </c>
      <c r="G30" s="15">
        <v>156975</v>
      </c>
      <c r="H30" s="16">
        <v>10</v>
      </c>
      <c r="I30" s="14" t="s">
        <v>131</v>
      </c>
      <c r="J30" s="16">
        <f t="shared" ca="1" si="1"/>
        <v>-404</v>
      </c>
      <c r="K30" s="16" t="str" cm="1">
        <f t="array" aca="1" ref="K30" ca="1">_xlfn.IFS(J30&gt;=H30,"0",J30&lt;H30,"100")</f>
        <v>100</v>
      </c>
      <c r="L30" s="13">
        <v>101653</v>
      </c>
      <c r="M30" s="14">
        <v>45301</v>
      </c>
      <c r="N30" s="14">
        <v>45332</v>
      </c>
      <c r="O30" s="13" t="s">
        <v>24</v>
      </c>
      <c r="Q30" s="17">
        <f t="shared" ca="1" si="0"/>
        <v>40.4</v>
      </c>
    </row>
    <row r="31" spans="1:17" x14ac:dyDescent="0.2">
      <c r="A31" s="13" t="s">
        <v>486</v>
      </c>
      <c r="B31" s="13" t="s">
        <v>482</v>
      </c>
      <c r="C31" s="13" t="s">
        <v>520</v>
      </c>
      <c r="D31" s="14">
        <v>45933</v>
      </c>
      <c r="E31" s="13" t="s">
        <v>727</v>
      </c>
      <c r="F31" s="13" t="s">
        <v>132</v>
      </c>
      <c r="G31" s="15">
        <v>828</v>
      </c>
      <c r="H31" s="16">
        <v>7</v>
      </c>
      <c r="I31" s="14" t="s">
        <v>133</v>
      </c>
      <c r="J31" s="16">
        <f t="shared" ca="1" si="1"/>
        <v>-382</v>
      </c>
      <c r="K31" s="16" t="str" cm="1">
        <f t="array" aca="1" ref="K31" ca="1">_xlfn.IFS(J31&gt;=H31,"0",J31&lt;H31,"100")</f>
        <v>100</v>
      </c>
      <c r="L31" s="13">
        <v>101414</v>
      </c>
      <c r="M31" s="14" t="s">
        <v>109</v>
      </c>
      <c r="N31" s="14" t="s">
        <v>134</v>
      </c>
      <c r="O31" s="13" t="s">
        <v>24</v>
      </c>
      <c r="Q31" s="17">
        <f t="shared" ca="1" si="0"/>
        <v>54.571428571428569</v>
      </c>
    </row>
    <row r="32" spans="1:17" x14ac:dyDescent="0.2">
      <c r="A32" s="13" t="s">
        <v>486</v>
      </c>
      <c r="B32" s="13" t="s">
        <v>482</v>
      </c>
      <c r="C32" s="13" t="s">
        <v>521</v>
      </c>
      <c r="D32" s="14">
        <v>45934</v>
      </c>
      <c r="E32" s="13" t="s">
        <v>727</v>
      </c>
      <c r="F32" s="13" t="s">
        <v>135</v>
      </c>
      <c r="G32" s="15">
        <v>4191.75</v>
      </c>
      <c r="H32" s="16">
        <v>7</v>
      </c>
      <c r="I32" s="14">
        <v>45513</v>
      </c>
      <c r="J32" s="16">
        <f t="shared" ca="1" si="1"/>
        <v>-421</v>
      </c>
      <c r="K32" s="16" t="str" cm="1">
        <f t="array" aca="1" ref="K32" ca="1">_xlfn.IFS(J32&gt;=H32,"0",J32&lt;H32,"100")</f>
        <v>100</v>
      </c>
      <c r="L32" s="13">
        <v>101172</v>
      </c>
      <c r="M32" s="14">
        <v>45635</v>
      </c>
      <c r="N32" s="14">
        <v>45332</v>
      </c>
      <c r="O32" s="13" t="s">
        <v>24</v>
      </c>
      <c r="Q32" s="17">
        <f t="shared" ca="1" si="0"/>
        <v>60.142857142857146</v>
      </c>
    </row>
    <row r="33" spans="1:17" x14ac:dyDescent="0.2">
      <c r="A33" s="13" t="s">
        <v>488</v>
      </c>
      <c r="B33" s="13" t="s">
        <v>481</v>
      </c>
      <c r="C33" s="13" t="s">
        <v>522</v>
      </c>
      <c r="D33" s="14">
        <v>45935</v>
      </c>
      <c r="E33" s="13" t="s">
        <v>137</v>
      </c>
      <c r="F33" s="13" t="s">
        <v>138</v>
      </c>
      <c r="G33" s="19">
        <v>2265.5</v>
      </c>
      <c r="H33" s="20">
        <v>7</v>
      </c>
      <c r="I33" s="14">
        <v>45572</v>
      </c>
      <c r="J33" s="16">
        <f t="shared" ca="1" si="1"/>
        <v>-363</v>
      </c>
      <c r="K33" s="16" t="str" cm="1">
        <f t="array" aca="1" ref="K33" ca="1">_xlfn.IFS(J33&gt;=H33,"0",J33&lt;H33,"100")</f>
        <v>100</v>
      </c>
      <c r="L33" s="13" t="s">
        <v>139</v>
      </c>
      <c r="M33" s="14">
        <v>45578</v>
      </c>
      <c r="O33" s="13" t="s">
        <v>24</v>
      </c>
      <c r="Q33" s="17">
        <f t="shared" ca="1" si="0"/>
        <v>51.857142857142854</v>
      </c>
    </row>
    <row r="34" spans="1:17" x14ac:dyDescent="0.2">
      <c r="A34" s="13" t="s">
        <v>486</v>
      </c>
      <c r="B34" s="13" t="s">
        <v>482</v>
      </c>
      <c r="C34" s="13" t="s">
        <v>523</v>
      </c>
      <c r="D34" s="14">
        <v>45936</v>
      </c>
      <c r="E34" s="13" t="s">
        <v>727</v>
      </c>
      <c r="F34" s="13" t="s">
        <v>143</v>
      </c>
      <c r="G34" s="15">
        <v>96600</v>
      </c>
      <c r="H34" s="16">
        <v>7</v>
      </c>
      <c r="I34" s="14">
        <v>45573</v>
      </c>
      <c r="J34" s="16">
        <f t="shared" ca="1" si="1"/>
        <v>-363</v>
      </c>
      <c r="K34" s="16" t="str" cm="1">
        <f t="array" aca="1" ref="K34" ca="1">_xlfn.IFS(J34&gt;=H34,"0",J34&lt;H34,"100")</f>
        <v>100</v>
      </c>
      <c r="L34" s="13" t="s">
        <v>144</v>
      </c>
      <c r="O34" s="13" t="s">
        <v>51</v>
      </c>
      <c r="P34" s="21" t="s">
        <v>145</v>
      </c>
      <c r="Q34" s="17">
        <f t="shared" ca="1" si="0"/>
        <v>51.857142857142854</v>
      </c>
    </row>
    <row r="35" spans="1:17" x14ac:dyDescent="0.2">
      <c r="A35" s="13" t="s">
        <v>486</v>
      </c>
      <c r="B35" s="13" t="s">
        <v>482</v>
      </c>
      <c r="C35" s="13" t="s">
        <v>524</v>
      </c>
      <c r="D35" s="14">
        <v>45937</v>
      </c>
      <c r="E35" s="13" t="s">
        <v>727</v>
      </c>
      <c r="F35" s="13" t="s">
        <v>146</v>
      </c>
      <c r="G35" s="15">
        <v>150000</v>
      </c>
      <c r="H35" s="16">
        <v>15</v>
      </c>
      <c r="J35" s="16">
        <f t="shared" ca="1" si="1"/>
        <v>28</v>
      </c>
      <c r="K35" s="16" t="str" cm="1">
        <f t="array" aca="1" ref="K35" ca="1">_xlfn.IFS(J35&gt;=H35,"0",J35&lt;H35,"100")</f>
        <v>0</v>
      </c>
      <c r="O35" s="13" t="s">
        <v>51</v>
      </c>
      <c r="P35" s="21" t="s">
        <v>147</v>
      </c>
      <c r="Q35" s="17">
        <f t="shared" ca="1" si="0"/>
        <v>-1.8666666666666667</v>
      </c>
    </row>
    <row r="36" spans="1:17" x14ac:dyDescent="0.2">
      <c r="A36" s="13" t="s">
        <v>486</v>
      </c>
      <c r="B36" s="13" t="s">
        <v>482</v>
      </c>
      <c r="C36" s="13" t="s">
        <v>525</v>
      </c>
      <c r="D36" s="14">
        <v>45938</v>
      </c>
      <c r="E36" s="13" t="s">
        <v>727</v>
      </c>
      <c r="F36" s="13" t="s">
        <v>146</v>
      </c>
      <c r="G36" s="15">
        <v>3000</v>
      </c>
      <c r="H36" s="22">
        <v>7</v>
      </c>
      <c r="I36" s="14">
        <v>45574</v>
      </c>
      <c r="J36" s="16">
        <f t="shared" ca="1" si="1"/>
        <v>-364</v>
      </c>
      <c r="K36" s="16" t="str" cm="1">
        <f t="array" aca="1" ref="K36" ca="1">_xlfn.IFS(J36&gt;=H36,"0",J36&lt;H36,"100")</f>
        <v>100</v>
      </c>
      <c r="O36" s="13" t="s">
        <v>51</v>
      </c>
      <c r="P36" s="21" t="s">
        <v>150</v>
      </c>
      <c r="Q36" s="17">
        <f t="shared" ca="1" si="0"/>
        <v>52</v>
      </c>
    </row>
    <row r="37" spans="1:17" x14ac:dyDescent="0.2">
      <c r="A37" s="13" t="s">
        <v>479</v>
      </c>
      <c r="B37" s="13" t="s">
        <v>480</v>
      </c>
      <c r="C37" s="13" t="s">
        <v>526</v>
      </c>
      <c r="D37" s="14">
        <v>45939</v>
      </c>
      <c r="E37" s="13" t="s">
        <v>153</v>
      </c>
      <c r="F37" s="13" t="s">
        <v>49</v>
      </c>
      <c r="G37" s="13">
        <v>17400</v>
      </c>
      <c r="H37" s="16">
        <v>7</v>
      </c>
      <c r="I37" s="14">
        <v>45572</v>
      </c>
      <c r="J37" s="16">
        <f t="shared" ca="1" si="1"/>
        <v>-367</v>
      </c>
      <c r="K37" s="16" t="str" cm="1">
        <f t="array" aca="1" ref="K37" ca="1">_xlfn.IFS(J37&gt;=H37,"0",J37&lt;H37,"100")</f>
        <v>100</v>
      </c>
      <c r="L37" s="13" t="s">
        <v>154</v>
      </c>
      <c r="O37" s="13" t="s">
        <v>51</v>
      </c>
      <c r="Q37" s="17">
        <f t="shared" ca="1" si="0"/>
        <v>52.428571428571431</v>
      </c>
    </row>
    <row r="38" spans="1:17" x14ac:dyDescent="0.2">
      <c r="A38" s="13" t="s">
        <v>485</v>
      </c>
      <c r="B38" s="13" t="s">
        <v>482</v>
      </c>
      <c r="C38" s="13" t="s">
        <v>527</v>
      </c>
      <c r="D38" s="14">
        <v>45940</v>
      </c>
      <c r="E38" s="13" t="s">
        <v>727</v>
      </c>
      <c r="F38" s="13" t="s">
        <v>158</v>
      </c>
      <c r="G38" s="15">
        <v>266907.78000000003</v>
      </c>
      <c r="H38" s="16">
        <v>15</v>
      </c>
      <c r="J38" s="16">
        <f t="shared" ca="1" si="1"/>
        <v>25</v>
      </c>
      <c r="K38" s="16" t="str" cm="1">
        <f t="array" aca="1" ref="K38" ca="1">_xlfn.IFS(J38&gt;=H38,"0",J38&lt;H38,"100")</f>
        <v>0</v>
      </c>
      <c r="O38" s="13" t="s">
        <v>51</v>
      </c>
      <c r="P38" s="13" t="s">
        <v>159</v>
      </c>
      <c r="Q38" s="17">
        <f t="shared" ca="1" si="0"/>
        <v>-1.6666666666666667</v>
      </c>
    </row>
    <row r="39" spans="1:17" x14ac:dyDescent="0.2">
      <c r="A39" s="13" t="s">
        <v>485</v>
      </c>
      <c r="B39" s="13" t="s">
        <v>482</v>
      </c>
      <c r="C39" s="13" t="s">
        <v>528</v>
      </c>
      <c r="D39" s="14">
        <v>45941</v>
      </c>
      <c r="E39" s="13" t="s">
        <v>727</v>
      </c>
      <c r="F39" s="13" t="s">
        <v>158</v>
      </c>
      <c r="G39" s="15">
        <v>279475.88</v>
      </c>
      <c r="H39" s="16">
        <v>15</v>
      </c>
      <c r="J39" s="16">
        <f t="shared" ca="1" si="1"/>
        <v>24</v>
      </c>
      <c r="K39" s="16" t="str" cm="1">
        <f t="array" aca="1" ref="K39" ca="1">_xlfn.IFS(J39&gt;=H39,"0",J39&lt;H39,"100")</f>
        <v>0</v>
      </c>
      <c r="O39" s="13" t="s">
        <v>51</v>
      </c>
      <c r="P39" s="13" t="s">
        <v>159</v>
      </c>
      <c r="Q39" s="17">
        <f t="shared" ca="1" si="0"/>
        <v>-1.6</v>
      </c>
    </row>
    <row r="40" spans="1:17" x14ac:dyDescent="0.2">
      <c r="A40" s="13" t="s">
        <v>485</v>
      </c>
      <c r="B40" s="13" t="s">
        <v>482</v>
      </c>
      <c r="C40" s="13" t="s">
        <v>529</v>
      </c>
      <c r="D40" s="14">
        <v>45942</v>
      </c>
      <c r="E40" s="13" t="s">
        <v>727</v>
      </c>
      <c r="F40" s="13" t="s">
        <v>158</v>
      </c>
      <c r="G40" s="15">
        <v>275586</v>
      </c>
      <c r="H40" s="16">
        <v>15</v>
      </c>
      <c r="J40" s="16">
        <f t="shared" ca="1" si="1"/>
        <v>23</v>
      </c>
      <c r="K40" s="16" t="str" cm="1">
        <f t="array" aca="1" ref="K40" ca="1">_xlfn.IFS(J40&gt;=H40,"0",J40&lt;H40,"100")</f>
        <v>0</v>
      </c>
      <c r="O40" s="13" t="s">
        <v>51</v>
      </c>
      <c r="P40" s="13" t="s">
        <v>159</v>
      </c>
      <c r="Q40" s="17">
        <f t="shared" ca="1" si="0"/>
        <v>-1.5333333333333334</v>
      </c>
    </row>
    <row r="41" spans="1:17" x14ac:dyDescent="0.2">
      <c r="A41" s="13" t="s">
        <v>485</v>
      </c>
      <c r="B41" s="13" t="s">
        <v>482</v>
      </c>
      <c r="C41" s="13" t="s">
        <v>530</v>
      </c>
      <c r="D41" s="14">
        <v>45943</v>
      </c>
      <c r="E41" s="13" t="s">
        <v>727</v>
      </c>
      <c r="F41" s="13" t="s">
        <v>158</v>
      </c>
      <c r="G41" s="15">
        <v>26277.5</v>
      </c>
      <c r="H41" s="16">
        <v>7</v>
      </c>
      <c r="J41" s="16">
        <f t="shared" ca="1" si="1"/>
        <v>22</v>
      </c>
      <c r="K41" s="16" t="str" cm="1">
        <f t="array" aca="1" ref="K41" ca="1">_xlfn.IFS(J41&gt;=H41,"0",J41&lt;H41,"100")</f>
        <v>0</v>
      </c>
      <c r="O41" s="13" t="s">
        <v>51</v>
      </c>
      <c r="Q41" s="17">
        <f t="shared" ca="1" si="0"/>
        <v>-3.1428571428571428</v>
      </c>
    </row>
    <row r="42" spans="1:17" x14ac:dyDescent="0.2">
      <c r="A42" s="13" t="s">
        <v>485</v>
      </c>
      <c r="B42" s="13" t="s">
        <v>482</v>
      </c>
      <c r="C42" s="13" t="s">
        <v>531</v>
      </c>
      <c r="D42" s="14">
        <v>45944</v>
      </c>
      <c r="E42" s="13" t="s">
        <v>727</v>
      </c>
      <c r="F42" s="13" t="s">
        <v>158</v>
      </c>
      <c r="G42" s="15">
        <v>23287.5</v>
      </c>
      <c r="H42" s="16">
        <v>7</v>
      </c>
      <c r="J42" s="16">
        <f t="shared" ca="1" si="1"/>
        <v>21</v>
      </c>
      <c r="K42" s="16" t="str" cm="1">
        <f t="array" aca="1" ref="K42" ca="1">_xlfn.IFS(J42&gt;=H42,"0",J42&lt;H42,"100")</f>
        <v>0</v>
      </c>
      <c r="O42" s="13" t="s">
        <v>51</v>
      </c>
      <c r="Q42" s="17">
        <f t="shared" ca="1" si="0"/>
        <v>-3</v>
      </c>
    </row>
    <row r="43" spans="1:17" x14ac:dyDescent="0.2">
      <c r="A43" s="13" t="s">
        <v>485</v>
      </c>
      <c r="B43" s="13" t="s">
        <v>482</v>
      </c>
      <c r="C43" s="13" t="s">
        <v>532</v>
      </c>
      <c r="D43" s="14">
        <v>45945</v>
      </c>
      <c r="E43" s="13" t="s">
        <v>727</v>
      </c>
      <c r="F43" s="13" t="s">
        <v>158</v>
      </c>
      <c r="G43" s="15">
        <v>21677.5</v>
      </c>
      <c r="H43" s="16">
        <v>7</v>
      </c>
      <c r="J43" s="16">
        <f t="shared" ca="1" si="1"/>
        <v>20</v>
      </c>
      <c r="K43" s="16" t="str" cm="1">
        <f t="array" aca="1" ref="K43" ca="1">_xlfn.IFS(J43&gt;=H43,"0",J43&lt;H43,"100")</f>
        <v>0</v>
      </c>
      <c r="O43" s="13" t="s">
        <v>51</v>
      </c>
      <c r="Q43" s="17">
        <f t="shared" ca="1" si="0"/>
        <v>-2.8571428571428572</v>
      </c>
    </row>
    <row r="44" spans="1:17" x14ac:dyDescent="0.2">
      <c r="A44" s="13" t="s">
        <v>484</v>
      </c>
      <c r="B44" s="13" t="s">
        <v>480</v>
      </c>
      <c r="C44" s="13" t="s">
        <v>533</v>
      </c>
      <c r="D44" s="14">
        <v>45946</v>
      </c>
      <c r="E44" s="13" t="s">
        <v>164</v>
      </c>
      <c r="F44" s="13" t="s">
        <v>165</v>
      </c>
      <c r="G44" s="15">
        <v>1200</v>
      </c>
      <c r="H44" s="16">
        <v>7</v>
      </c>
      <c r="I44" s="14">
        <v>45567</v>
      </c>
      <c r="J44" s="16">
        <f t="shared" ca="1" si="1"/>
        <v>-379</v>
      </c>
      <c r="K44" s="16" t="str" cm="1">
        <f t="array" aca="1" ref="K44" ca="1">_xlfn.IFS(J44&gt;=H44,"0",J44&lt;H44,"100")</f>
        <v>100</v>
      </c>
      <c r="L44" s="13">
        <v>1073954</v>
      </c>
      <c r="N44" s="14">
        <v>45361</v>
      </c>
      <c r="O44" s="13" t="s">
        <v>51</v>
      </c>
      <c r="Q44" s="17">
        <f t="shared" ca="1" si="0"/>
        <v>54.142857142857146</v>
      </c>
    </row>
    <row r="45" spans="1:17" x14ac:dyDescent="0.2">
      <c r="A45" s="13" t="s">
        <v>484</v>
      </c>
      <c r="B45" s="13" t="s">
        <v>480</v>
      </c>
      <c r="C45" s="13" t="s">
        <v>534</v>
      </c>
      <c r="D45" s="14">
        <v>45947</v>
      </c>
      <c r="E45" s="13" t="s">
        <v>167</v>
      </c>
      <c r="F45" s="13" t="s">
        <v>168</v>
      </c>
      <c r="G45" s="15">
        <v>828</v>
      </c>
      <c r="H45" s="16">
        <v>7</v>
      </c>
      <c r="I45" s="14" t="s">
        <v>128</v>
      </c>
      <c r="J45" s="16">
        <f t="shared" ca="1" si="1"/>
        <v>-383</v>
      </c>
      <c r="K45" s="16" t="str" cm="1">
        <f t="array" aca="1" ref="K45" ca="1">_xlfn.IFS(J45&gt;=H45,"0",J45&lt;H45,"100")</f>
        <v>100</v>
      </c>
      <c r="L45" s="13">
        <v>1072835</v>
      </c>
      <c r="N45" s="14">
        <v>45361</v>
      </c>
      <c r="O45" s="13" t="s">
        <v>51</v>
      </c>
      <c r="Q45" s="17">
        <f t="shared" ca="1" si="0"/>
        <v>54.714285714285715</v>
      </c>
    </row>
    <row r="46" spans="1:17" x14ac:dyDescent="0.2">
      <c r="A46" s="13" t="s">
        <v>484</v>
      </c>
      <c r="B46" s="13" t="s">
        <v>480</v>
      </c>
      <c r="C46" s="13" t="s">
        <v>535</v>
      </c>
      <c r="D46" s="14">
        <v>45948</v>
      </c>
      <c r="E46" s="13" t="s">
        <v>170</v>
      </c>
      <c r="F46" s="13" t="s">
        <v>171</v>
      </c>
      <c r="G46" s="15">
        <v>1720</v>
      </c>
      <c r="H46" s="16">
        <v>7</v>
      </c>
      <c r="I46" s="14" t="s">
        <v>128</v>
      </c>
      <c r="J46" s="16">
        <f t="shared" ca="1" si="1"/>
        <v>-384</v>
      </c>
      <c r="K46" s="16" t="str" cm="1">
        <f t="array" aca="1" ref="K46" ca="1">_xlfn.IFS(J46&gt;=H46,"0",J46&lt;H46,"100")</f>
        <v>100</v>
      </c>
      <c r="L46" s="13">
        <v>1072985</v>
      </c>
      <c r="N46" s="14" t="s">
        <v>115</v>
      </c>
      <c r="O46" s="13" t="s">
        <v>51</v>
      </c>
      <c r="Q46" s="17">
        <f t="shared" ca="1" si="0"/>
        <v>54.857142857142854</v>
      </c>
    </row>
    <row r="47" spans="1:17" x14ac:dyDescent="0.2">
      <c r="A47" s="13" t="s">
        <v>484</v>
      </c>
      <c r="B47" s="13" t="s">
        <v>480</v>
      </c>
      <c r="C47" s="13" t="s">
        <v>536</v>
      </c>
      <c r="D47" s="14">
        <v>45949</v>
      </c>
      <c r="E47" s="13" t="s">
        <v>167</v>
      </c>
      <c r="F47" s="13" t="s">
        <v>20</v>
      </c>
      <c r="G47" s="15">
        <v>632</v>
      </c>
      <c r="H47" s="16">
        <v>7</v>
      </c>
      <c r="I47" s="14" t="s">
        <v>173</v>
      </c>
      <c r="J47" s="16">
        <f t="shared" ca="1" si="1"/>
        <v>-388</v>
      </c>
      <c r="K47" s="16" t="str" cm="1">
        <f t="array" aca="1" ref="K47" ca="1">_xlfn.IFS(J47&gt;=H47,"0",J47&lt;H47,"100")</f>
        <v>100</v>
      </c>
      <c r="L47" s="13">
        <v>1070076</v>
      </c>
      <c r="N47" s="14">
        <v>45361</v>
      </c>
      <c r="O47" s="13" t="s">
        <v>51</v>
      </c>
      <c r="Q47" s="17">
        <f t="shared" ca="1" si="0"/>
        <v>55.428571428571431</v>
      </c>
    </row>
    <row r="48" spans="1:17" x14ac:dyDescent="0.2">
      <c r="A48" s="13" t="s">
        <v>484</v>
      </c>
      <c r="B48" s="13" t="s">
        <v>480</v>
      </c>
      <c r="C48" s="13" t="s">
        <v>537</v>
      </c>
      <c r="D48" s="14">
        <v>45950</v>
      </c>
      <c r="E48" s="13" t="s">
        <v>175</v>
      </c>
      <c r="F48" s="13" t="s">
        <v>176</v>
      </c>
      <c r="G48" s="15">
        <v>280</v>
      </c>
      <c r="H48" s="16">
        <v>7</v>
      </c>
      <c r="I48" s="14">
        <v>45568</v>
      </c>
      <c r="J48" s="16">
        <f t="shared" ca="1" si="1"/>
        <v>-382</v>
      </c>
      <c r="K48" s="16" t="str" cm="1">
        <f t="array" aca="1" ref="K48" ca="1">_xlfn.IFS(J48&gt;=H48,"0",J48&lt;H48,"100")</f>
        <v>100</v>
      </c>
      <c r="L48" s="13">
        <v>1074434</v>
      </c>
      <c r="N48" s="14">
        <v>45453</v>
      </c>
      <c r="O48" s="13" t="s">
        <v>51</v>
      </c>
      <c r="Q48" s="17">
        <f t="shared" ca="1" si="0"/>
        <v>54.571428571428569</v>
      </c>
    </row>
    <row r="49" spans="1:17" x14ac:dyDescent="0.2">
      <c r="A49" s="13" t="s">
        <v>484</v>
      </c>
      <c r="B49" s="13" t="s">
        <v>480</v>
      </c>
      <c r="C49" s="13" t="s">
        <v>538</v>
      </c>
      <c r="D49" s="14">
        <v>45951</v>
      </c>
      <c r="E49" s="13" t="s">
        <v>175</v>
      </c>
      <c r="F49" s="13" t="s">
        <v>176</v>
      </c>
      <c r="G49" s="15">
        <v>191</v>
      </c>
      <c r="H49" s="16">
        <v>7</v>
      </c>
      <c r="I49" s="14">
        <v>45568</v>
      </c>
      <c r="J49" s="16">
        <f t="shared" ca="1" si="1"/>
        <v>-383</v>
      </c>
      <c r="K49" s="16" t="str" cm="1">
        <f t="array" aca="1" ref="K49" ca="1">_xlfn.IFS(J49&gt;=H49,"0",J49&lt;H49,"100")</f>
        <v>100</v>
      </c>
      <c r="L49" s="13">
        <v>1074060</v>
      </c>
      <c r="N49" s="14">
        <v>45453</v>
      </c>
      <c r="O49" s="13" t="s">
        <v>51</v>
      </c>
      <c r="Q49" s="17">
        <f t="shared" ca="1" si="0"/>
        <v>54.714285714285715</v>
      </c>
    </row>
    <row r="50" spans="1:17" x14ac:dyDescent="0.2">
      <c r="A50" s="13" t="s">
        <v>484</v>
      </c>
      <c r="B50" s="13" t="s">
        <v>480</v>
      </c>
      <c r="C50" s="13" t="s">
        <v>539</v>
      </c>
      <c r="D50" s="14">
        <v>45952</v>
      </c>
      <c r="E50" s="13" t="s">
        <v>178</v>
      </c>
      <c r="F50" s="13" t="s">
        <v>179</v>
      </c>
      <c r="G50" s="15">
        <v>150</v>
      </c>
      <c r="H50" s="16">
        <v>7</v>
      </c>
      <c r="I50" s="14">
        <v>45573</v>
      </c>
      <c r="J50" s="16">
        <f t="shared" ca="1" si="1"/>
        <v>-379</v>
      </c>
      <c r="K50" s="16" t="str" cm="1">
        <f t="array" aca="1" ref="K50" ca="1">_xlfn.IFS(J50&gt;=H50,"0",J50&lt;H50,"100")</f>
        <v>100</v>
      </c>
      <c r="N50" s="14">
        <v>45514</v>
      </c>
      <c r="O50" s="13" t="s">
        <v>51</v>
      </c>
      <c r="Q50" s="17">
        <f t="shared" ca="1" si="0"/>
        <v>54.142857142857146</v>
      </c>
    </row>
    <row r="51" spans="1:17" x14ac:dyDescent="0.2">
      <c r="A51" s="13" t="s">
        <v>487</v>
      </c>
      <c r="B51" s="13" t="s">
        <v>482</v>
      </c>
      <c r="C51" s="13" t="s">
        <v>540</v>
      </c>
      <c r="D51" s="14">
        <v>45953</v>
      </c>
      <c r="E51" s="13" t="s">
        <v>727</v>
      </c>
      <c r="F51" s="13" t="s">
        <v>125</v>
      </c>
      <c r="G51" s="15">
        <v>9297.75</v>
      </c>
      <c r="H51" s="16">
        <v>7</v>
      </c>
      <c r="I51" s="14">
        <v>45568</v>
      </c>
      <c r="J51" s="16">
        <f t="shared" ca="1" si="1"/>
        <v>-385</v>
      </c>
      <c r="K51" s="16" t="str" cm="1">
        <f t="array" aca="1" ref="K51" ca="1">_xlfn.IFS(J51&gt;=H51,"0",J51&lt;H51,"100")</f>
        <v>100</v>
      </c>
      <c r="O51" s="13" t="s">
        <v>51</v>
      </c>
      <c r="P51" s="13" t="s">
        <v>159</v>
      </c>
      <c r="Q51" s="17">
        <f t="shared" ca="1" si="0"/>
        <v>55</v>
      </c>
    </row>
    <row r="52" spans="1:17" x14ac:dyDescent="0.2">
      <c r="A52" s="13" t="s">
        <v>487</v>
      </c>
      <c r="B52" s="13" t="s">
        <v>482</v>
      </c>
      <c r="C52" s="13" t="s">
        <v>541</v>
      </c>
      <c r="D52" s="14">
        <v>45954</v>
      </c>
      <c r="E52" s="13" t="s">
        <v>727</v>
      </c>
      <c r="F52" s="13" t="s">
        <v>185</v>
      </c>
      <c r="G52" s="15">
        <v>22770</v>
      </c>
      <c r="H52" s="16">
        <v>7</v>
      </c>
      <c r="I52" s="14">
        <v>45568</v>
      </c>
      <c r="J52" s="16">
        <f t="shared" ca="1" si="1"/>
        <v>-386</v>
      </c>
      <c r="K52" s="16" t="str" cm="1">
        <f t="array" aca="1" ref="K52" ca="1">_xlfn.IFS(J52&gt;=H52,"0",J52&lt;H52,"100")</f>
        <v>100</v>
      </c>
      <c r="O52" s="13" t="s">
        <v>51</v>
      </c>
      <c r="Q52" s="17">
        <f t="shared" ca="1" si="0"/>
        <v>55.142857142857146</v>
      </c>
    </row>
    <row r="53" spans="1:17" x14ac:dyDescent="0.2">
      <c r="A53" s="13" t="s">
        <v>487</v>
      </c>
      <c r="B53" s="13" t="s">
        <v>482</v>
      </c>
      <c r="C53" s="13" t="s">
        <v>542</v>
      </c>
      <c r="D53" s="14">
        <v>45955</v>
      </c>
      <c r="E53" s="13" t="s">
        <v>727</v>
      </c>
      <c r="F53" s="13" t="s">
        <v>125</v>
      </c>
      <c r="G53" s="15">
        <v>28799.96</v>
      </c>
      <c r="H53" s="16">
        <v>7</v>
      </c>
      <c r="I53" s="14">
        <v>45568</v>
      </c>
      <c r="J53" s="16">
        <f t="shared" ca="1" si="1"/>
        <v>-387</v>
      </c>
      <c r="K53" s="16" t="str" cm="1">
        <f t="array" aca="1" ref="K53" ca="1">_xlfn.IFS(J53&gt;=H53,"0",J53&lt;H53,"100")</f>
        <v>100</v>
      </c>
      <c r="O53" s="13" t="s">
        <v>51</v>
      </c>
      <c r="P53" s="13" t="s">
        <v>159</v>
      </c>
      <c r="Q53" s="17">
        <f t="shared" ca="1" si="0"/>
        <v>55.285714285714285</v>
      </c>
    </row>
    <row r="54" spans="1:17" x14ac:dyDescent="0.2">
      <c r="A54" s="13" t="s">
        <v>487</v>
      </c>
      <c r="B54" s="13" t="s">
        <v>482</v>
      </c>
      <c r="C54" s="13" t="s">
        <v>543</v>
      </c>
      <c r="D54" s="14">
        <v>45956</v>
      </c>
      <c r="E54" s="13" t="s">
        <v>727</v>
      </c>
      <c r="F54" s="13" t="s">
        <v>95</v>
      </c>
      <c r="G54" s="15">
        <v>20000</v>
      </c>
      <c r="H54" s="16">
        <v>7</v>
      </c>
      <c r="J54" s="16">
        <f t="shared" ca="1" si="1"/>
        <v>9</v>
      </c>
      <c r="K54" s="16" t="str" cm="1">
        <f t="array" aca="1" ref="K54" ca="1">_xlfn.IFS(J54&gt;=H54,"0",J54&lt;H54,"100")</f>
        <v>0</v>
      </c>
      <c r="O54" s="13" t="s">
        <v>51</v>
      </c>
      <c r="Q54" s="17">
        <f t="shared" ca="1" si="0"/>
        <v>-1.2857142857142858</v>
      </c>
    </row>
    <row r="55" spans="1:17" x14ac:dyDescent="0.2">
      <c r="A55" s="13" t="s">
        <v>487</v>
      </c>
      <c r="B55" s="13" t="s">
        <v>482</v>
      </c>
      <c r="C55" s="13" t="s">
        <v>544</v>
      </c>
      <c r="D55" s="14">
        <v>45957</v>
      </c>
      <c r="E55" s="13" t="s">
        <v>728</v>
      </c>
      <c r="F55" s="13" t="s">
        <v>191</v>
      </c>
      <c r="G55" s="15">
        <v>29000</v>
      </c>
      <c r="H55" s="16">
        <v>7</v>
      </c>
      <c r="J55" s="16">
        <f t="shared" ca="1" si="1"/>
        <v>8</v>
      </c>
      <c r="K55" s="16" t="str" cm="1">
        <f t="array" aca="1" ref="K55" ca="1">_xlfn.IFS(J55&gt;=H55,"0",J55&lt;H55,"100")</f>
        <v>0</v>
      </c>
      <c r="O55" s="13" t="s">
        <v>51</v>
      </c>
      <c r="Q55" s="17">
        <f t="shared" ca="1" si="0"/>
        <v>-1.1428571428571428</v>
      </c>
    </row>
    <row r="56" spans="1:17" x14ac:dyDescent="0.2">
      <c r="A56" s="13" t="s">
        <v>487</v>
      </c>
      <c r="B56" s="13" t="s">
        <v>482</v>
      </c>
      <c r="C56" s="13" t="s">
        <v>545</v>
      </c>
      <c r="D56" s="14">
        <v>45958</v>
      </c>
      <c r="E56" s="13" t="s">
        <v>728</v>
      </c>
      <c r="F56" s="13" t="s">
        <v>191</v>
      </c>
      <c r="G56" s="15">
        <v>7000</v>
      </c>
      <c r="H56" s="16">
        <v>7</v>
      </c>
      <c r="I56" s="14">
        <v>45571</v>
      </c>
      <c r="J56" s="16">
        <f t="shared" ca="1" si="1"/>
        <v>-387</v>
      </c>
      <c r="K56" s="16" t="str" cm="1">
        <f t="array" aca="1" ref="K56" ca="1">_xlfn.IFS(J56&gt;=H56,"0",J56&lt;H56,"100")</f>
        <v>100</v>
      </c>
      <c r="O56" s="13" t="s">
        <v>51</v>
      </c>
      <c r="Q56" s="17">
        <f t="shared" ca="1" si="0"/>
        <v>55.285714285714285</v>
      </c>
    </row>
    <row r="57" spans="1:17" x14ac:dyDescent="0.2">
      <c r="A57" s="13" t="s">
        <v>487</v>
      </c>
      <c r="B57" s="13" t="s">
        <v>482</v>
      </c>
      <c r="C57" s="13" t="s">
        <v>546</v>
      </c>
      <c r="D57" s="14">
        <v>45959</v>
      </c>
      <c r="E57" s="13" t="s">
        <v>728</v>
      </c>
      <c r="F57" s="13" t="s">
        <v>158</v>
      </c>
      <c r="G57" s="15">
        <v>10000</v>
      </c>
      <c r="H57" s="16">
        <v>7</v>
      </c>
      <c r="I57" s="14">
        <v>45571</v>
      </c>
      <c r="J57" s="16">
        <f t="shared" ca="1" si="1"/>
        <v>-388</v>
      </c>
      <c r="K57" s="16" t="str" cm="1">
        <f t="array" aca="1" ref="K57" ca="1">_xlfn.IFS(J57&gt;=H57,"0",J57&lt;H57,"100")</f>
        <v>100</v>
      </c>
      <c r="O57" s="13" t="s">
        <v>51</v>
      </c>
      <c r="P57" s="13" t="s">
        <v>159</v>
      </c>
      <c r="Q57" s="17">
        <f t="shared" ca="1" si="0"/>
        <v>55.428571428571431</v>
      </c>
    </row>
    <row r="58" spans="1:17" x14ac:dyDescent="0.2">
      <c r="A58" s="13" t="s">
        <v>487</v>
      </c>
      <c r="B58" s="13" t="s">
        <v>482</v>
      </c>
      <c r="C58" s="13" t="s">
        <v>547</v>
      </c>
      <c r="D58" s="14">
        <v>45960</v>
      </c>
      <c r="E58" s="13" t="s">
        <v>728</v>
      </c>
      <c r="F58" s="13" t="s">
        <v>158</v>
      </c>
      <c r="G58" s="15">
        <v>75256</v>
      </c>
      <c r="H58" s="16">
        <v>7</v>
      </c>
      <c r="I58" s="14">
        <v>45571</v>
      </c>
      <c r="J58" s="16">
        <f t="shared" ca="1" si="1"/>
        <v>-389</v>
      </c>
      <c r="K58" s="16" t="str" cm="1">
        <f t="array" aca="1" ref="K58" ca="1">_xlfn.IFS(J58&gt;=H58,"0",J58&lt;H58,"100")</f>
        <v>100</v>
      </c>
      <c r="O58" s="13" t="s">
        <v>51</v>
      </c>
      <c r="P58" s="13" t="s">
        <v>159</v>
      </c>
      <c r="Q58" s="17">
        <f t="shared" ca="1" si="0"/>
        <v>55.571428571428569</v>
      </c>
    </row>
    <row r="59" spans="1:17" x14ac:dyDescent="0.2">
      <c r="A59" s="13" t="s">
        <v>487</v>
      </c>
      <c r="B59" s="13" t="s">
        <v>482</v>
      </c>
      <c r="C59" s="13" t="s">
        <v>548</v>
      </c>
      <c r="D59" s="14">
        <v>45961</v>
      </c>
      <c r="E59" s="13" t="s">
        <v>728</v>
      </c>
      <c r="F59" s="13" t="s">
        <v>158</v>
      </c>
      <c r="G59" s="15">
        <v>75256</v>
      </c>
      <c r="H59" s="16">
        <v>7</v>
      </c>
      <c r="I59" s="14">
        <v>45571</v>
      </c>
      <c r="J59" s="16">
        <f t="shared" ca="1" si="1"/>
        <v>-390</v>
      </c>
      <c r="K59" s="16" t="str" cm="1">
        <f t="array" aca="1" ref="K59" ca="1">_xlfn.IFS(J59&gt;=H59,"0",J59&lt;H59,"100")</f>
        <v>100</v>
      </c>
      <c r="O59" s="13" t="s">
        <v>51</v>
      </c>
      <c r="P59" s="13" t="s">
        <v>159</v>
      </c>
      <c r="Q59" s="17">
        <f t="shared" ca="1" si="0"/>
        <v>55.714285714285715</v>
      </c>
    </row>
    <row r="60" spans="1:17" x14ac:dyDescent="0.1">
      <c r="A60" s="13" t="s">
        <v>479</v>
      </c>
      <c r="B60" s="13" t="s">
        <v>480</v>
      </c>
      <c r="C60" s="13" t="s">
        <v>549</v>
      </c>
      <c r="D60" s="14">
        <v>45961</v>
      </c>
      <c r="E60" s="24" t="s">
        <v>198</v>
      </c>
      <c r="F60" s="25" t="s">
        <v>199</v>
      </c>
      <c r="G60" s="24">
        <v>475</v>
      </c>
      <c r="H60" s="26">
        <v>7</v>
      </c>
      <c r="I60" s="27">
        <v>45538</v>
      </c>
      <c r="J60" s="16">
        <v>0</v>
      </c>
      <c r="K60" s="16" t="str" cm="1">
        <f t="array" ref="K60">_xlfn.IFS(J60&gt;=H60,"0",J60&lt;H60,"100")</f>
        <v>100</v>
      </c>
      <c r="L60" s="24" t="s">
        <v>30</v>
      </c>
      <c r="M60" s="27" t="s">
        <v>200</v>
      </c>
      <c r="N60" s="14">
        <v>45483</v>
      </c>
      <c r="O60" s="13" t="s">
        <v>24</v>
      </c>
      <c r="P60" s="13" t="s">
        <v>32</v>
      </c>
      <c r="Q60" s="17">
        <f t="shared" si="0"/>
        <v>0</v>
      </c>
    </row>
    <row r="61" spans="1:17" x14ac:dyDescent="0.2">
      <c r="A61" s="13" t="s">
        <v>479</v>
      </c>
      <c r="B61" s="13" t="s">
        <v>480</v>
      </c>
      <c r="C61" s="13" t="s">
        <v>550</v>
      </c>
      <c r="D61" s="14">
        <v>45933</v>
      </c>
      <c r="E61" s="28" t="s">
        <v>202</v>
      </c>
      <c r="F61" s="29" t="s">
        <v>203</v>
      </c>
      <c r="G61" s="24">
        <v>675</v>
      </c>
      <c r="H61" s="26">
        <v>7</v>
      </c>
      <c r="I61" s="27">
        <v>45572</v>
      </c>
      <c r="J61" s="16">
        <f t="shared" ref="J61:J87" ca="1" si="2">IF(ISBLANK(I61),TODAY()-D61,I61-D61)</f>
        <v>-361</v>
      </c>
      <c r="K61" s="16" t="str" cm="1">
        <f t="array" aca="1" ref="K61" ca="1">_xlfn.IFS(J61&gt;=H61,"0",J61&lt;H61,"100")</f>
        <v>100</v>
      </c>
      <c r="L61" s="28" t="s">
        <v>204</v>
      </c>
      <c r="M61" s="27" t="s">
        <v>37</v>
      </c>
      <c r="N61" s="14" t="s">
        <v>37</v>
      </c>
      <c r="O61" s="13" t="s">
        <v>24</v>
      </c>
      <c r="P61" s="13" t="s">
        <v>32</v>
      </c>
      <c r="Q61" s="17">
        <f t="shared" ca="1" si="0"/>
        <v>51.571428571428569</v>
      </c>
    </row>
    <row r="62" spans="1:17" x14ac:dyDescent="0.2">
      <c r="A62" s="13" t="s">
        <v>479</v>
      </c>
      <c r="B62" s="13" t="s">
        <v>480</v>
      </c>
      <c r="C62" s="13" t="s">
        <v>551</v>
      </c>
      <c r="D62" s="14">
        <v>45934</v>
      </c>
      <c r="E62" s="24" t="s">
        <v>206</v>
      </c>
      <c r="F62" s="30" t="s">
        <v>207</v>
      </c>
      <c r="G62" s="24">
        <v>836</v>
      </c>
      <c r="H62" s="26">
        <v>7</v>
      </c>
      <c r="I62" s="27">
        <v>45567</v>
      </c>
      <c r="J62" s="16">
        <f t="shared" ca="1" si="2"/>
        <v>-367</v>
      </c>
      <c r="K62" s="16" t="str" cm="1">
        <f t="array" aca="1" ref="K62" ca="1">_xlfn.IFS(J62&gt;=H62,"0",J62&lt;H62,"100")</f>
        <v>100</v>
      </c>
      <c r="L62" s="24" t="s">
        <v>208</v>
      </c>
      <c r="M62" s="27" t="s">
        <v>37</v>
      </c>
      <c r="N62" s="27" t="s">
        <v>37</v>
      </c>
      <c r="O62" s="13" t="s">
        <v>24</v>
      </c>
      <c r="P62" s="13" t="s">
        <v>32</v>
      </c>
      <c r="Q62" s="17">
        <f t="shared" ca="1" si="0"/>
        <v>52.428571428571431</v>
      </c>
    </row>
    <row r="63" spans="1:17" x14ac:dyDescent="0.2">
      <c r="A63" s="13" t="s">
        <v>479</v>
      </c>
      <c r="B63" s="13" t="s">
        <v>480</v>
      </c>
      <c r="C63" s="13" t="s">
        <v>552</v>
      </c>
      <c r="D63" s="14">
        <v>45935</v>
      </c>
      <c r="E63" s="24" t="s">
        <v>210</v>
      </c>
      <c r="F63" s="30" t="s">
        <v>211</v>
      </c>
      <c r="G63" s="24">
        <v>232</v>
      </c>
      <c r="H63" s="26">
        <v>7</v>
      </c>
      <c r="I63" s="27">
        <v>45567</v>
      </c>
      <c r="J63" s="16">
        <f t="shared" ca="1" si="2"/>
        <v>-368</v>
      </c>
      <c r="K63" s="16" t="str" cm="1">
        <f t="array" aca="1" ref="K63" ca="1">_xlfn.IFS(J63&gt;=H63,"0",J63&lt;H63,"100")</f>
        <v>100</v>
      </c>
      <c r="L63" s="24" t="s">
        <v>208</v>
      </c>
      <c r="M63" s="27" t="s">
        <v>37</v>
      </c>
      <c r="N63" s="27" t="s">
        <v>37</v>
      </c>
      <c r="O63" s="13" t="s">
        <v>24</v>
      </c>
      <c r="P63" s="13" t="s">
        <v>32</v>
      </c>
      <c r="Q63" s="17">
        <f t="shared" ca="1" si="0"/>
        <v>52.571428571428569</v>
      </c>
    </row>
    <row r="64" spans="1:17" x14ac:dyDescent="0.2">
      <c r="A64" s="13" t="s">
        <v>479</v>
      </c>
      <c r="B64" s="13" t="s">
        <v>480</v>
      </c>
      <c r="C64" s="13" t="s">
        <v>553</v>
      </c>
      <c r="D64" s="14">
        <v>45936</v>
      </c>
      <c r="E64" s="24" t="s">
        <v>213</v>
      </c>
      <c r="F64" s="31" t="s">
        <v>214</v>
      </c>
      <c r="G64" s="24">
        <v>86.96</v>
      </c>
      <c r="H64" s="26">
        <v>7</v>
      </c>
      <c r="I64" s="27">
        <v>45567</v>
      </c>
      <c r="J64" s="16">
        <f t="shared" ca="1" si="2"/>
        <v>-369</v>
      </c>
      <c r="K64" s="16" t="str" cm="1">
        <f t="array" aca="1" ref="K64" ca="1">_xlfn.IFS(J64&gt;=H64,"0",J64&lt;H64,"100")</f>
        <v>100</v>
      </c>
      <c r="L64" s="24" t="s">
        <v>208</v>
      </c>
      <c r="M64" s="27" t="s">
        <v>37</v>
      </c>
      <c r="N64" s="27" t="s">
        <v>37</v>
      </c>
      <c r="O64" s="13" t="s">
        <v>24</v>
      </c>
      <c r="P64" s="13" t="s">
        <v>32</v>
      </c>
      <c r="Q64" s="17">
        <f t="shared" ca="1" si="0"/>
        <v>52.714285714285715</v>
      </c>
    </row>
    <row r="65" spans="1:17" x14ac:dyDescent="0.2">
      <c r="A65" s="13" t="s">
        <v>479</v>
      </c>
      <c r="B65" s="13" t="s">
        <v>480</v>
      </c>
      <c r="C65" s="13" t="s">
        <v>554</v>
      </c>
      <c r="D65" s="14">
        <v>45937</v>
      </c>
      <c r="E65" s="24" t="s">
        <v>216</v>
      </c>
      <c r="F65" s="31" t="s">
        <v>217</v>
      </c>
      <c r="G65" s="24">
        <v>304.35000000000002</v>
      </c>
      <c r="H65" s="26">
        <v>7</v>
      </c>
      <c r="I65" s="27">
        <v>45567</v>
      </c>
      <c r="J65" s="16">
        <f t="shared" ca="1" si="2"/>
        <v>-370</v>
      </c>
      <c r="K65" s="16" t="str" cm="1">
        <f t="array" aca="1" ref="K65" ca="1">_xlfn.IFS(J65&gt;=H65,"0",J65&lt;H65,"100")</f>
        <v>100</v>
      </c>
      <c r="L65" s="24" t="s">
        <v>208</v>
      </c>
      <c r="M65" s="27" t="s">
        <v>37</v>
      </c>
      <c r="N65" s="27" t="s">
        <v>37</v>
      </c>
      <c r="O65" s="13" t="s">
        <v>24</v>
      </c>
      <c r="P65" s="13" t="s">
        <v>32</v>
      </c>
      <c r="Q65" s="17">
        <f t="shared" ca="1" si="0"/>
        <v>52.857142857142854</v>
      </c>
    </row>
    <row r="66" spans="1:17" x14ac:dyDescent="0.2">
      <c r="A66" s="13" t="s">
        <v>479</v>
      </c>
      <c r="B66" s="13" t="s">
        <v>480</v>
      </c>
      <c r="C66" s="13" t="s">
        <v>555</v>
      </c>
      <c r="D66" s="14">
        <v>45938</v>
      </c>
      <c r="E66" s="24" t="s">
        <v>206</v>
      </c>
      <c r="F66" s="31" t="s">
        <v>219</v>
      </c>
      <c r="G66" s="24">
        <v>576</v>
      </c>
      <c r="H66" s="26">
        <v>7</v>
      </c>
      <c r="I66" s="27">
        <v>45567</v>
      </c>
      <c r="J66" s="16">
        <f t="shared" ca="1" si="2"/>
        <v>-371</v>
      </c>
      <c r="K66" s="16" t="str" cm="1">
        <f t="array" aca="1" ref="K66" ca="1">_xlfn.IFS(J66&gt;=H66,"0",J66&lt;H66,"100")</f>
        <v>100</v>
      </c>
      <c r="L66" s="24" t="s">
        <v>208</v>
      </c>
      <c r="M66" s="27" t="s">
        <v>37</v>
      </c>
      <c r="N66" s="27" t="s">
        <v>37</v>
      </c>
      <c r="O66" s="13" t="s">
        <v>24</v>
      </c>
      <c r="P66" s="13" t="s">
        <v>32</v>
      </c>
      <c r="Q66" s="17">
        <f t="shared" ref="Q66:Q119" ca="1" si="3">-J66/H66</f>
        <v>53</v>
      </c>
    </row>
    <row r="67" spans="1:17" x14ac:dyDescent="0.2">
      <c r="A67" s="13" t="s">
        <v>479</v>
      </c>
      <c r="B67" s="13" t="s">
        <v>480</v>
      </c>
      <c r="C67" s="13" t="s">
        <v>556</v>
      </c>
      <c r="D67" s="14">
        <v>45939</v>
      </c>
      <c r="E67" s="34" t="s">
        <v>220</v>
      </c>
      <c r="F67" s="31" t="s">
        <v>217</v>
      </c>
      <c r="G67" s="24">
        <v>1099</v>
      </c>
      <c r="H67" s="26">
        <v>7</v>
      </c>
      <c r="I67" s="27">
        <v>45567</v>
      </c>
      <c r="J67" s="16">
        <f t="shared" ca="1" si="2"/>
        <v>-372</v>
      </c>
      <c r="K67" s="16" t="str" cm="1">
        <f t="array" aca="1" ref="K67" ca="1">_xlfn.IFS(J67&gt;=H67,"0",J67&lt;H67,"100")</f>
        <v>100</v>
      </c>
      <c r="L67" s="24" t="s">
        <v>221</v>
      </c>
      <c r="M67" s="27">
        <v>45540</v>
      </c>
      <c r="N67" s="14">
        <v>45483</v>
      </c>
      <c r="O67" s="13" t="s">
        <v>24</v>
      </c>
      <c r="P67" s="13" t="s">
        <v>32</v>
      </c>
      <c r="Q67" s="17">
        <f t="shared" ca="1" si="3"/>
        <v>53.142857142857146</v>
      </c>
    </row>
    <row r="68" spans="1:17" x14ac:dyDescent="0.2">
      <c r="A68" s="13" t="s">
        <v>479</v>
      </c>
      <c r="B68" s="13" t="s">
        <v>480</v>
      </c>
      <c r="C68" s="13" t="s">
        <v>557</v>
      </c>
      <c r="D68" s="14">
        <v>45940</v>
      </c>
      <c r="E68" s="13" t="s">
        <v>223</v>
      </c>
      <c r="F68" s="13" t="s">
        <v>49</v>
      </c>
      <c r="G68" s="13">
        <v>9450</v>
      </c>
      <c r="H68" s="16">
        <v>7</v>
      </c>
      <c r="J68" s="16">
        <f t="shared" ca="1" si="2"/>
        <v>25</v>
      </c>
      <c r="K68" s="16" t="str" cm="1">
        <f t="array" aca="1" ref="K68" ca="1">_xlfn.IFS(J68&gt;=H68,"0",J68&lt;H68,"100")</f>
        <v>0</v>
      </c>
      <c r="L68" s="13" t="s">
        <v>224</v>
      </c>
      <c r="O68" s="13" t="s">
        <v>51</v>
      </c>
      <c r="Q68" s="17">
        <f t="shared" ca="1" si="3"/>
        <v>-3.5714285714285716</v>
      </c>
    </row>
    <row r="69" spans="1:17" x14ac:dyDescent="0.2">
      <c r="A69" s="13" t="s">
        <v>479</v>
      </c>
      <c r="B69" s="13" t="s">
        <v>480</v>
      </c>
      <c r="C69" s="13" t="s">
        <v>558</v>
      </c>
      <c r="D69" s="14">
        <v>45941</v>
      </c>
      <c r="E69" s="13" t="s">
        <v>226</v>
      </c>
      <c r="F69" s="13" t="s">
        <v>60</v>
      </c>
      <c r="G69" s="13">
        <v>2550</v>
      </c>
      <c r="H69" s="16">
        <v>7</v>
      </c>
      <c r="I69" s="14">
        <v>45573</v>
      </c>
      <c r="J69" s="16">
        <f t="shared" ca="1" si="2"/>
        <v>-368</v>
      </c>
      <c r="K69" s="16" t="str" cm="1">
        <f t="array" aca="1" ref="K69" ca="1">_xlfn.IFS(J69&gt;=H69,"0",J69&lt;H69,"100")</f>
        <v>100</v>
      </c>
      <c r="L69" s="13" t="s">
        <v>227</v>
      </c>
      <c r="O69" s="13" t="s">
        <v>51</v>
      </c>
      <c r="Q69" s="17">
        <f t="shared" ca="1" si="3"/>
        <v>52.571428571428569</v>
      </c>
    </row>
    <row r="70" spans="1:17" x14ac:dyDescent="0.2">
      <c r="A70" s="13" t="s">
        <v>479</v>
      </c>
      <c r="B70" s="13" t="s">
        <v>480</v>
      </c>
      <c r="C70" s="13" t="s">
        <v>559</v>
      </c>
      <c r="D70" s="14">
        <v>45942</v>
      </c>
      <c r="E70" s="13" t="s">
        <v>59</v>
      </c>
      <c r="F70" s="13" t="s">
        <v>60</v>
      </c>
      <c r="G70" s="13">
        <v>2000</v>
      </c>
      <c r="H70" s="16">
        <v>7</v>
      </c>
      <c r="I70" s="14">
        <v>45573</v>
      </c>
      <c r="J70" s="16">
        <f t="shared" ca="1" si="2"/>
        <v>-369</v>
      </c>
      <c r="K70" s="16" t="str" cm="1">
        <f t="array" aca="1" ref="K70" ca="1">_xlfn.IFS(J70&gt;=H70,"0",J70&lt;H70,"100")</f>
        <v>100</v>
      </c>
      <c r="L70" s="13" t="s">
        <v>61</v>
      </c>
      <c r="O70" s="13" t="s">
        <v>51</v>
      </c>
      <c r="Q70" s="17">
        <f t="shared" ca="1" si="3"/>
        <v>52.714285714285715</v>
      </c>
    </row>
    <row r="71" spans="1:17" x14ac:dyDescent="0.2">
      <c r="A71" s="13" t="s">
        <v>483</v>
      </c>
      <c r="B71" s="13" t="s">
        <v>480</v>
      </c>
      <c r="C71" s="13" t="s">
        <v>560</v>
      </c>
      <c r="D71" s="14">
        <v>45943</v>
      </c>
      <c r="E71" s="13" t="s">
        <v>231</v>
      </c>
      <c r="F71" s="13" t="s">
        <v>232</v>
      </c>
      <c r="G71" s="35">
        <v>28185</v>
      </c>
      <c r="H71" s="16">
        <v>7</v>
      </c>
      <c r="J71" s="16">
        <f t="shared" ca="1" si="2"/>
        <v>22</v>
      </c>
      <c r="K71" s="16" t="str" cm="1">
        <f t="array" aca="1" ref="K71" ca="1">_xlfn.IFS(J71&gt;=H71,"0",J71&lt;H71,"100")</f>
        <v>0</v>
      </c>
      <c r="L71" s="13" t="s">
        <v>233</v>
      </c>
      <c r="O71" s="13" t="s">
        <v>51</v>
      </c>
      <c r="Q71" s="17">
        <f t="shared" ca="1" si="3"/>
        <v>-3.1428571428571428</v>
      </c>
    </row>
    <row r="72" spans="1:17" x14ac:dyDescent="0.15">
      <c r="A72" s="13" t="s">
        <v>483</v>
      </c>
      <c r="B72" s="13" t="s">
        <v>480</v>
      </c>
      <c r="C72" s="13" t="s">
        <v>561</v>
      </c>
      <c r="D72" s="14">
        <v>45944</v>
      </c>
      <c r="E72" s="13" t="s">
        <v>231</v>
      </c>
      <c r="F72" s="13" t="s">
        <v>82</v>
      </c>
      <c r="G72" s="36">
        <v>636364.80000000005</v>
      </c>
      <c r="H72" s="37">
        <v>15</v>
      </c>
      <c r="J72" s="16">
        <f t="shared" ca="1" si="2"/>
        <v>21</v>
      </c>
      <c r="K72" s="16" t="str" cm="1">
        <f t="array" aca="1" ref="K72" ca="1">_xlfn.IFS(J72&gt;=H72,"0",J72&lt;H72,"100")</f>
        <v>0</v>
      </c>
      <c r="O72" s="13" t="s">
        <v>51</v>
      </c>
      <c r="Q72" s="17">
        <f t="shared" ca="1" si="3"/>
        <v>-1.4</v>
      </c>
    </row>
    <row r="73" spans="1:17" x14ac:dyDescent="0.2">
      <c r="A73" s="13" t="s">
        <v>483</v>
      </c>
      <c r="B73" s="13" t="s">
        <v>480</v>
      </c>
      <c r="C73" s="13" t="s">
        <v>562</v>
      </c>
      <c r="D73" s="14">
        <v>45945</v>
      </c>
      <c r="E73" s="13" t="s">
        <v>231</v>
      </c>
      <c r="F73" s="13" t="s">
        <v>82</v>
      </c>
      <c r="G73" s="35">
        <v>288000</v>
      </c>
      <c r="H73" s="16">
        <v>15</v>
      </c>
      <c r="J73" s="16">
        <f t="shared" ca="1" si="2"/>
        <v>20</v>
      </c>
      <c r="K73" s="16" t="str" cm="1">
        <f t="array" aca="1" ref="K73" ca="1">_xlfn.IFS(J73&gt;=H73,"0",J73&lt;H73,"100")</f>
        <v>0</v>
      </c>
      <c r="O73" s="13" t="s">
        <v>51</v>
      </c>
      <c r="Q73" s="17">
        <f t="shared" ca="1" si="3"/>
        <v>-1.3333333333333333</v>
      </c>
    </row>
    <row r="74" spans="1:17" x14ac:dyDescent="0.2">
      <c r="A74" s="13" t="s">
        <v>483</v>
      </c>
      <c r="B74" s="13" t="s">
        <v>480</v>
      </c>
      <c r="C74" s="13" t="s">
        <v>563</v>
      </c>
      <c r="D74" s="14">
        <v>45946</v>
      </c>
      <c r="E74" s="13" t="s">
        <v>231</v>
      </c>
      <c r="F74" s="13" t="s">
        <v>82</v>
      </c>
      <c r="G74" s="35">
        <v>464184</v>
      </c>
      <c r="H74" s="16">
        <v>15</v>
      </c>
      <c r="J74" s="16">
        <f t="shared" ca="1" si="2"/>
        <v>19</v>
      </c>
      <c r="K74" s="16" t="str" cm="1">
        <f t="array" aca="1" ref="K74" ca="1">_xlfn.IFS(J74&gt;=H74,"0",J74&lt;H74,"100")</f>
        <v>0</v>
      </c>
      <c r="Q74" s="17">
        <f t="shared" ca="1" si="3"/>
        <v>-1.2666666666666666</v>
      </c>
    </row>
    <row r="75" spans="1:17" x14ac:dyDescent="0.15">
      <c r="A75" s="13" t="s">
        <v>483</v>
      </c>
      <c r="B75" s="13" t="s">
        <v>480</v>
      </c>
      <c r="C75" s="13" t="s">
        <v>564</v>
      </c>
      <c r="D75" s="14">
        <v>45947</v>
      </c>
      <c r="E75" s="13" t="s">
        <v>231</v>
      </c>
      <c r="F75" s="13" t="s">
        <v>82</v>
      </c>
      <c r="G75" s="38">
        <v>706724</v>
      </c>
      <c r="H75" s="39">
        <v>15</v>
      </c>
      <c r="J75" s="16">
        <f t="shared" ca="1" si="2"/>
        <v>18</v>
      </c>
      <c r="K75" s="16" t="str" cm="1">
        <f t="array" aca="1" ref="K75" ca="1">_xlfn.IFS(J75&gt;=H75,"0",J75&lt;H75,"100")</f>
        <v>0</v>
      </c>
      <c r="O75" s="13" t="s">
        <v>51</v>
      </c>
      <c r="Q75" s="17">
        <f t="shared" ca="1" si="3"/>
        <v>-1.2</v>
      </c>
    </row>
    <row r="76" spans="1:17" x14ac:dyDescent="0.2">
      <c r="A76" s="13" t="s">
        <v>483</v>
      </c>
      <c r="B76" s="13" t="s">
        <v>480</v>
      </c>
      <c r="C76" s="13" t="s">
        <v>565</v>
      </c>
      <c r="D76" s="14">
        <v>45948</v>
      </c>
      <c r="E76" s="13" t="s">
        <v>231</v>
      </c>
      <c r="F76" s="13" t="s">
        <v>82</v>
      </c>
      <c r="G76" s="35">
        <v>56000</v>
      </c>
      <c r="H76" s="16">
        <v>7</v>
      </c>
      <c r="J76" s="16">
        <f t="shared" ca="1" si="2"/>
        <v>17</v>
      </c>
      <c r="K76" s="16" t="str" cm="1">
        <f t="array" aca="1" ref="K76" ca="1">_xlfn.IFS(J76&gt;=H76,"0",J76&lt;H76,"100")</f>
        <v>0</v>
      </c>
      <c r="L76" s="13" t="s">
        <v>238</v>
      </c>
      <c r="O76" s="13" t="s">
        <v>51</v>
      </c>
      <c r="Q76" s="17">
        <f t="shared" ca="1" si="3"/>
        <v>-2.4285714285714284</v>
      </c>
    </row>
    <row r="77" spans="1:17" x14ac:dyDescent="0.2">
      <c r="A77" s="13" t="s">
        <v>483</v>
      </c>
      <c r="B77" s="13" t="s">
        <v>480</v>
      </c>
      <c r="C77" s="13" t="s">
        <v>566</v>
      </c>
      <c r="D77" s="14">
        <v>45949</v>
      </c>
      <c r="E77" s="13" t="s">
        <v>231</v>
      </c>
      <c r="F77" s="13" t="s">
        <v>82</v>
      </c>
      <c r="G77" s="15">
        <v>161435.85</v>
      </c>
      <c r="H77" s="16">
        <v>10</v>
      </c>
      <c r="J77" s="16">
        <f t="shared" ca="1" si="2"/>
        <v>16</v>
      </c>
      <c r="K77" s="16" t="str" cm="1">
        <f t="array" aca="1" ref="K77" ca="1">_xlfn.IFS(J77&gt;=H77,"0",J77&lt;H77,"100")</f>
        <v>0</v>
      </c>
      <c r="O77" s="13" t="s">
        <v>51</v>
      </c>
      <c r="Q77" s="17">
        <f t="shared" ca="1" si="3"/>
        <v>-1.6</v>
      </c>
    </row>
    <row r="78" spans="1:17" x14ac:dyDescent="0.2">
      <c r="A78" s="13" t="s">
        <v>486</v>
      </c>
      <c r="B78" s="13" t="s">
        <v>482</v>
      </c>
      <c r="C78" s="13" t="s">
        <v>567</v>
      </c>
      <c r="D78" s="14">
        <v>45950</v>
      </c>
      <c r="E78" s="13" t="s">
        <v>728</v>
      </c>
      <c r="F78" s="13" t="s">
        <v>242</v>
      </c>
      <c r="G78" s="13">
        <v>20000</v>
      </c>
      <c r="H78" s="16">
        <v>7</v>
      </c>
      <c r="J78" s="16">
        <f t="shared" ca="1" si="2"/>
        <v>15</v>
      </c>
      <c r="K78" s="16" t="str" cm="1">
        <f t="array" aca="1" ref="K78" ca="1">_xlfn.IFS(J78&gt;=H78,"0",J78&lt;H78,"100")</f>
        <v>0</v>
      </c>
      <c r="O78" s="13" t="s">
        <v>51</v>
      </c>
      <c r="Q78" s="17">
        <f t="shared" ca="1" si="3"/>
        <v>-2.1428571428571428</v>
      </c>
    </row>
    <row r="79" spans="1:17" x14ac:dyDescent="0.2">
      <c r="A79" s="13" t="s">
        <v>486</v>
      </c>
      <c r="B79" s="13" t="s">
        <v>482</v>
      </c>
      <c r="C79" s="13" t="s">
        <v>568</v>
      </c>
      <c r="D79" s="14">
        <v>45951</v>
      </c>
      <c r="E79" s="13" t="s">
        <v>728</v>
      </c>
      <c r="F79" s="13" t="s">
        <v>242</v>
      </c>
      <c r="G79" s="13">
        <v>40000</v>
      </c>
      <c r="H79" s="16">
        <v>7</v>
      </c>
      <c r="J79" s="16">
        <f t="shared" ca="1" si="2"/>
        <v>14</v>
      </c>
      <c r="K79" s="16" t="str" cm="1">
        <f t="array" aca="1" ref="K79" ca="1">_xlfn.IFS(J79&gt;=H79,"0",J79&lt;H79,"100")</f>
        <v>0</v>
      </c>
      <c r="O79" s="13" t="s">
        <v>51</v>
      </c>
      <c r="Q79" s="17">
        <f t="shared" ca="1" si="3"/>
        <v>-2</v>
      </c>
    </row>
    <row r="80" spans="1:17" x14ac:dyDescent="0.2">
      <c r="A80" s="13" t="s">
        <v>479</v>
      </c>
      <c r="B80" s="13" t="s">
        <v>480</v>
      </c>
      <c r="C80" s="13" t="s">
        <v>569</v>
      </c>
      <c r="D80" s="14">
        <v>45952</v>
      </c>
      <c r="E80" s="13" t="s">
        <v>245</v>
      </c>
      <c r="F80" s="13" t="s">
        <v>82</v>
      </c>
      <c r="G80" s="24">
        <v>2050</v>
      </c>
      <c r="H80" s="26">
        <v>7</v>
      </c>
      <c r="I80" s="14">
        <v>45573</v>
      </c>
      <c r="J80" s="16">
        <f t="shared" ca="1" si="2"/>
        <v>-379</v>
      </c>
      <c r="K80" s="16" t="str" cm="1">
        <f t="array" aca="1" ref="K80" ca="1">_xlfn.IFS(J80&gt;=H80,"0",J80&lt;H80,"100")</f>
        <v>100</v>
      </c>
      <c r="L80" s="24" t="s">
        <v>246</v>
      </c>
      <c r="M80" s="27" t="s">
        <v>37</v>
      </c>
      <c r="N80" s="27" t="s">
        <v>37</v>
      </c>
      <c r="O80" s="13" t="s">
        <v>24</v>
      </c>
      <c r="P80" s="13" t="s">
        <v>32</v>
      </c>
      <c r="Q80" s="17">
        <f t="shared" ca="1" si="3"/>
        <v>54.142857142857146</v>
      </c>
    </row>
    <row r="81" spans="1:17" x14ac:dyDescent="0.2">
      <c r="A81" s="13" t="s">
        <v>488</v>
      </c>
      <c r="B81" s="13" t="s">
        <v>481</v>
      </c>
      <c r="C81" s="13" t="s">
        <v>570</v>
      </c>
      <c r="D81" s="14">
        <v>45953</v>
      </c>
      <c r="F81" s="13" t="s">
        <v>82</v>
      </c>
      <c r="G81" s="41" t="s">
        <v>249</v>
      </c>
      <c r="H81" s="42">
        <v>7</v>
      </c>
      <c r="J81" s="16">
        <f t="shared" ca="1" si="2"/>
        <v>12</v>
      </c>
      <c r="K81" s="16" t="str" cm="1">
        <f t="array" aca="1" ref="K81" ca="1">_xlfn.IFS(J81&gt;=H81,"0",J81&lt;H81,"100")</f>
        <v>0</v>
      </c>
      <c r="O81" s="13" t="s">
        <v>51</v>
      </c>
      <c r="Q81" s="17">
        <f t="shared" ca="1" si="3"/>
        <v>-1.7142857142857142</v>
      </c>
    </row>
    <row r="82" spans="1:17" x14ac:dyDescent="0.2">
      <c r="A82" s="13" t="s">
        <v>488</v>
      </c>
      <c r="B82" s="13" t="s">
        <v>481</v>
      </c>
      <c r="C82" s="13" t="s">
        <v>571</v>
      </c>
      <c r="D82" s="14">
        <v>45954</v>
      </c>
      <c r="F82" s="13" t="s">
        <v>82</v>
      </c>
      <c r="G82" s="41">
        <v>1000000</v>
      </c>
      <c r="H82" s="42">
        <v>15</v>
      </c>
      <c r="J82" s="16">
        <f t="shared" ca="1" si="2"/>
        <v>11</v>
      </c>
      <c r="K82" s="16" t="str" cm="1">
        <f t="array" aca="1" ref="K82" ca="1">_xlfn.IFS(J82&gt;=H82,"0",J82&lt;H82,"100")</f>
        <v>100</v>
      </c>
      <c r="O82" s="13" t="s">
        <v>51</v>
      </c>
      <c r="Q82" s="17">
        <f t="shared" ca="1" si="3"/>
        <v>-0.73333333333333328</v>
      </c>
    </row>
    <row r="83" spans="1:17" x14ac:dyDescent="0.2">
      <c r="A83" s="13" t="s">
        <v>486</v>
      </c>
      <c r="B83" s="13" t="s">
        <v>482</v>
      </c>
      <c r="C83" s="13" t="s">
        <v>572</v>
      </c>
      <c r="D83" s="14">
        <v>45955</v>
      </c>
      <c r="E83" s="13" t="s">
        <v>728</v>
      </c>
      <c r="F83" s="13" t="s">
        <v>82</v>
      </c>
      <c r="G83" s="43">
        <v>15000</v>
      </c>
      <c r="H83" s="16">
        <v>7</v>
      </c>
      <c r="J83" s="16">
        <f t="shared" ca="1" si="2"/>
        <v>10</v>
      </c>
      <c r="K83" s="16" t="str" cm="1">
        <f t="array" aca="1" ref="K83" ca="1">_xlfn.IFS(J83&gt;=H83,"0",J83&lt;H83,"100")</f>
        <v>0</v>
      </c>
      <c r="O83" s="13" t="s">
        <v>51</v>
      </c>
      <c r="Q83" s="17">
        <f t="shared" ca="1" si="3"/>
        <v>-1.4285714285714286</v>
      </c>
    </row>
    <row r="84" spans="1:17" x14ac:dyDescent="0.2">
      <c r="A84" s="13" t="s">
        <v>483</v>
      </c>
      <c r="B84" s="13" t="s">
        <v>480</v>
      </c>
      <c r="C84" s="13" t="s">
        <v>573</v>
      </c>
      <c r="D84" s="14">
        <v>45956</v>
      </c>
      <c r="F84" s="13" t="s">
        <v>82</v>
      </c>
      <c r="G84" s="13">
        <v>800</v>
      </c>
      <c r="H84" s="16">
        <v>7</v>
      </c>
      <c r="J84" s="16">
        <f t="shared" ca="1" si="2"/>
        <v>9</v>
      </c>
      <c r="K84" s="16" t="str" cm="1">
        <f t="array" aca="1" ref="K84" ca="1">_xlfn.IFS(J84&gt;=H84,"0",J84&lt;H84,"100")</f>
        <v>0</v>
      </c>
      <c r="N84" s="14">
        <v>45575</v>
      </c>
      <c r="O84" s="13" t="s">
        <v>51</v>
      </c>
      <c r="Q84" s="17">
        <f t="shared" ca="1" si="3"/>
        <v>-1.2857142857142858</v>
      </c>
    </row>
    <row r="85" spans="1:17" x14ac:dyDescent="0.2">
      <c r="A85" s="13" t="s">
        <v>483</v>
      </c>
      <c r="B85" s="13" t="s">
        <v>480</v>
      </c>
      <c r="C85" s="13" t="s">
        <v>574</v>
      </c>
      <c r="D85" s="14">
        <v>45957</v>
      </c>
      <c r="F85" s="13" t="s">
        <v>82</v>
      </c>
      <c r="G85" s="13">
        <v>665</v>
      </c>
      <c r="H85" s="16">
        <v>7</v>
      </c>
      <c r="J85" s="16">
        <f t="shared" ca="1" si="2"/>
        <v>8</v>
      </c>
      <c r="K85" s="16" t="str" cm="1">
        <f t="array" aca="1" ref="K85" ca="1">_xlfn.IFS(J85&gt;=H85,"0",J85&lt;H85,"100")</f>
        <v>0</v>
      </c>
      <c r="N85" s="14">
        <v>45575</v>
      </c>
      <c r="O85" s="13" t="s">
        <v>51</v>
      </c>
      <c r="Q85" s="17">
        <f t="shared" ca="1" si="3"/>
        <v>-1.1428571428571428</v>
      </c>
    </row>
    <row r="86" spans="1:17" x14ac:dyDescent="0.2">
      <c r="A86" s="13" t="s">
        <v>488</v>
      </c>
      <c r="B86" s="13" t="s">
        <v>481</v>
      </c>
      <c r="C86" s="13" t="s">
        <v>575</v>
      </c>
      <c r="D86" s="14">
        <v>45958</v>
      </c>
      <c r="F86" s="13" t="s">
        <v>82</v>
      </c>
      <c r="G86" s="13">
        <v>49801.9</v>
      </c>
      <c r="H86" s="16">
        <v>7</v>
      </c>
      <c r="I86" s="14">
        <v>45573</v>
      </c>
      <c r="J86" s="16">
        <f t="shared" ca="1" si="2"/>
        <v>-385</v>
      </c>
      <c r="K86" s="16" t="str" cm="1">
        <f t="array" aca="1" ref="K86" ca="1">_xlfn.IFS(J86&gt;=H86,"0",J86&lt;H86,"100")</f>
        <v>100</v>
      </c>
      <c r="L86" s="13" t="s">
        <v>258</v>
      </c>
      <c r="O86" s="13" t="s">
        <v>24</v>
      </c>
      <c r="Q86" s="17">
        <f t="shared" ca="1" si="3"/>
        <v>55</v>
      </c>
    </row>
    <row r="87" spans="1:17" x14ac:dyDescent="0.2">
      <c r="A87" s="13" t="s">
        <v>479</v>
      </c>
      <c r="B87" s="13" t="s">
        <v>480</v>
      </c>
      <c r="C87" s="13" t="s">
        <v>576</v>
      </c>
      <c r="D87" s="14">
        <v>45959</v>
      </c>
      <c r="E87" s="13" t="s">
        <v>260</v>
      </c>
      <c r="F87" s="13" t="s">
        <v>82</v>
      </c>
      <c r="G87" s="24">
        <v>1150</v>
      </c>
      <c r="H87" s="26">
        <v>7</v>
      </c>
      <c r="I87" s="44">
        <v>45573</v>
      </c>
      <c r="J87" s="16">
        <f t="shared" ca="1" si="2"/>
        <v>-386</v>
      </c>
      <c r="K87" s="16" t="str" cm="1">
        <f t="array" aca="1" ref="K87" ca="1">_xlfn.IFS(J87&gt;=H87,"0",J87&lt;H87,"100")</f>
        <v>100</v>
      </c>
      <c r="L87" s="24" t="s">
        <v>261</v>
      </c>
      <c r="M87" s="27"/>
      <c r="O87" s="13" t="s">
        <v>51</v>
      </c>
      <c r="Q87" s="17">
        <f t="shared" ca="1" si="3"/>
        <v>55.142857142857146</v>
      </c>
    </row>
    <row r="88" spans="1:17" x14ac:dyDescent="0.2">
      <c r="A88" s="13" t="s">
        <v>479</v>
      </c>
      <c r="B88" s="13" t="s">
        <v>480</v>
      </c>
      <c r="C88" s="13" t="s">
        <v>577</v>
      </c>
      <c r="D88" s="14">
        <v>45960</v>
      </c>
      <c r="E88" s="13" t="s">
        <v>263</v>
      </c>
      <c r="F88" s="13" t="s">
        <v>82</v>
      </c>
      <c r="G88" s="24">
        <v>1029.25</v>
      </c>
      <c r="H88" s="26">
        <v>7</v>
      </c>
      <c r="I88" s="44">
        <v>45360</v>
      </c>
      <c r="J88" s="16">
        <v>0</v>
      </c>
      <c r="K88" s="16" t="str" cm="1">
        <f t="array" ref="K88">_xlfn.IFS(J88&gt;=H88,"0",J88&lt;H88,"100")</f>
        <v>100</v>
      </c>
      <c r="L88" s="24" t="s">
        <v>264</v>
      </c>
      <c r="M88" s="27" t="s">
        <v>265</v>
      </c>
      <c r="N88" s="14">
        <v>45514</v>
      </c>
      <c r="O88" s="13" t="s">
        <v>24</v>
      </c>
      <c r="P88" s="13" t="s">
        <v>32</v>
      </c>
      <c r="Q88" s="17">
        <f t="shared" si="3"/>
        <v>0</v>
      </c>
    </row>
    <row r="89" spans="1:17" x14ac:dyDescent="0.2">
      <c r="A89" s="13" t="s">
        <v>479</v>
      </c>
      <c r="B89" s="13" t="s">
        <v>480</v>
      </c>
      <c r="C89" s="13" t="s">
        <v>578</v>
      </c>
      <c r="D89" s="14">
        <v>45961</v>
      </c>
      <c r="E89" s="13" t="s">
        <v>267</v>
      </c>
      <c r="F89" s="13" t="s">
        <v>82</v>
      </c>
      <c r="G89" s="24">
        <v>485.85</v>
      </c>
      <c r="H89" s="26">
        <v>7</v>
      </c>
      <c r="I89" s="44" t="s">
        <v>268</v>
      </c>
      <c r="J89" s="16">
        <v>0</v>
      </c>
      <c r="K89" s="16" t="str" cm="1">
        <f t="array" ref="K89">_xlfn.IFS(J89&gt;=H89,"0",J89&lt;H89,"100")</f>
        <v>100</v>
      </c>
      <c r="L89" s="24" t="s">
        <v>269</v>
      </c>
      <c r="M89" s="27" t="s">
        <v>265</v>
      </c>
      <c r="N89" s="14">
        <v>45514</v>
      </c>
      <c r="O89" s="13" t="s">
        <v>24</v>
      </c>
      <c r="P89" s="13" t="s">
        <v>32</v>
      </c>
      <c r="Q89" s="17">
        <f t="shared" si="3"/>
        <v>0</v>
      </c>
    </row>
    <row r="90" spans="1:17" x14ac:dyDescent="0.2">
      <c r="A90" s="13" t="s">
        <v>479</v>
      </c>
      <c r="B90" s="13" t="s">
        <v>480</v>
      </c>
      <c r="C90" s="13" t="s">
        <v>579</v>
      </c>
      <c r="D90" s="14">
        <v>45961</v>
      </c>
      <c r="E90" s="13" t="s">
        <v>271</v>
      </c>
      <c r="F90" s="13" t="s">
        <v>82</v>
      </c>
      <c r="G90" s="24">
        <v>1900</v>
      </c>
      <c r="H90" s="26">
        <v>7</v>
      </c>
      <c r="I90" s="44" t="s">
        <v>272</v>
      </c>
      <c r="J90" s="16">
        <v>0</v>
      </c>
      <c r="K90" s="16" t="str" cm="1">
        <f t="array" ref="K90">_xlfn.IFS(J90&gt;=H90,"0",J90&lt;H90,"100")</f>
        <v>100</v>
      </c>
      <c r="L90" s="24" t="s">
        <v>273</v>
      </c>
      <c r="M90" s="27" t="s">
        <v>265</v>
      </c>
      <c r="N90" s="14">
        <v>45514</v>
      </c>
      <c r="O90" s="13" t="s">
        <v>24</v>
      </c>
      <c r="P90" s="13" t="s">
        <v>32</v>
      </c>
      <c r="Q90" s="17">
        <f t="shared" si="3"/>
        <v>0</v>
      </c>
    </row>
    <row r="91" spans="1:17" x14ac:dyDescent="0.2">
      <c r="A91" s="13" t="s">
        <v>479</v>
      </c>
      <c r="B91" s="13" t="s">
        <v>480</v>
      </c>
      <c r="C91" s="13" t="s">
        <v>580</v>
      </c>
      <c r="D91" s="14">
        <v>45933</v>
      </c>
      <c r="E91" s="13" t="s">
        <v>275</v>
      </c>
      <c r="F91" s="13" t="s">
        <v>82</v>
      </c>
      <c r="G91" s="24">
        <v>1052</v>
      </c>
      <c r="H91" s="26">
        <v>7</v>
      </c>
      <c r="I91" s="14">
        <v>45573</v>
      </c>
      <c r="J91" s="16">
        <f t="shared" ref="J91:J106" ca="1" si="4">IF(ISBLANK(I91),TODAY()-D91,I91-D91)</f>
        <v>-360</v>
      </c>
      <c r="K91" s="16" t="str" cm="1">
        <f t="array" aca="1" ref="K91" ca="1">_xlfn.IFS(J91&gt;=H91,"0",J91&lt;H91,"100")</f>
        <v>100</v>
      </c>
      <c r="L91" s="24" t="s">
        <v>276</v>
      </c>
      <c r="M91" s="27" t="s">
        <v>277</v>
      </c>
      <c r="O91" s="13" t="s">
        <v>51</v>
      </c>
      <c r="Q91" s="17">
        <f t="shared" ca="1" si="3"/>
        <v>51.428571428571431</v>
      </c>
    </row>
    <row r="92" spans="1:17" x14ac:dyDescent="0.2">
      <c r="A92" s="13" t="s">
        <v>479</v>
      </c>
      <c r="B92" s="13" t="s">
        <v>480</v>
      </c>
      <c r="C92" s="13" t="s">
        <v>581</v>
      </c>
      <c r="D92" s="14">
        <v>45934</v>
      </c>
      <c r="E92" s="13" t="s">
        <v>279</v>
      </c>
      <c r="F92" s="13" t="s">
        <v>82</v>
      </c>
      <c r="G92" s="24">
        <v>1863</v>
      </c>
      <c r="H92" s="26">
        <v>7</v>
      </c>
      <c r="I92" s="14">
        <v>45573</v>
      </c>
      <c r="J92" s="16">
        <f t="shared" ca="1" si="4"/>
        <v>-361</v>
      </c>
      <c r="K92" s="16" t="str" cm="1">
        <f t="array" aca="1" ref="K92" ca="1">_xlfn.IFS(J92&gt;=H92,"0",J92&lt;H92,"100")</f>
        <v>100</v>
      </c>
      <c r="L92" s="24" t="s">
        <v>280</v>
      </c>
      <c r="M92" s="27" t="s">
        <v>281</v>
      </c>
      <c r="O92" s="13" t="s">
        <v>51</v>
      </c>
      <c r="Q92" s="17">
        <f t="shared" ca="1" si="3"/>
        <v>51.571428571428569</v>
      </c>
    </row>
    <row r="93" spans="1:17" x14ac:dyDescent="0.2">
      <c r="A93" s="13" t="s">
        <v>479</v>
      </c>
      <c r="B93" s="13" t="s">
        <v>480</v>
      </c>
      <c r="C93" s="13" t="s">
        <v>582</v>
      </c>
      <c r="D93" s="14">
        <v>45935</v>
      </c>
      <c r="E93" s="13" t="s">
        <v>283</v>
      </c>
      <c r="F93" s="13" t="s">
        <v>82</v>
      </c>
      <c r="G93" s="13">
        <v>4550</v>
      </c>
      <c r="H93" s="16">
        <v>7</v>
      </c>
      <c r="J93" s="16">
        <f t="shared" ca="1" si="4"/>
        <v>30</v>
      </c>
      <c r="K93" s="16" t="str" cm="1">
        <f t="array" aca="1" ref="K93" ca="1">_xlfn.IFS(J93&gt;=H93,"0",J93&lt;H93,"100")</f>
        <v>0</v>
      </c>
      <c r="L93" s="13" t="s">
        <v>284</v>
      </c>
      <c r="Q93" s="17">
        <f t="shared" ca="1" si="3"/>
        <v>-4.2857142857142856</v>
      </c>
    </row>
    <row r="94" spans="1:17" x14ac:dyDescent="0.2">
      <c r="A94" s="24" t="s">
        <v>285</v>
      </c>
      <c r="B94" s="13" t="s">
        <v>480</v>
      </c>
      <c r="C94" s="13" t="s">
        <v>583</v>
      </c>
      <c r="D94" s="14">
        <v>45936</v>
      </c>
      <c r="F94" s="13" t="s">
        <v>82</v>
      </c>
      <c r="G94" s="13">
        <v>28118</v>
      </c>
      <c r="H94" s="16">
        <v>7</v>
      </c>
      <c r="J94" s="16">
        <f t="shared" ca="1" si="4"/>
        <v>29</v>
      </c>
      <c r="K94" s="16" t="str" cm="1">
        <f t="array" aca="1" ref="K94" ca="1">_xlfn.IFS(J94&gt;=H94,"0",J94&lt;H94,"100")</f>
        <v>0</v>
      </c>
      <c r="Q94" s="17">
        <f t="shared" ca="1" si="3"/>
        <v>-4.1428571428571432</v>
      </c>
    </row>
    <row r="95" spans="1:17" x14ac:dyDescent="0.2">
      <c r="A95" s="24" t="s">
        <v>285</v>
      </c>
      <c r="B95" s="13" t="s">
        <v>480</v>
      </c>
      <c r="C95" s="13" t="s">
        <v>584</v>
      </c>
      <c r="D95" s="14">
        <v>45937</v>
      </c>
      <c r="F95" s="13" t="s">
        <v>82</v>
      </c>
      <c r="G95" s="13">
        <v>31450</v>
      </c>
      <c r="H95" s="16">
        <v>7</v>
      </c>
      <c r="J95" s="16">
        <f t="shared" ca="1" si="4"/>
        <v>28</v>
      </c>
      <c r="K95" s="16" t="str" cm="1">
        <f t="array" aca="1" ref="K95" ca="1">_xlfn.IFS(J95&gt;=H95,"0",J95&lt;H95,"100")</f>
        <v>0</v>
      </c>
      <c r="Q95" s="17">
        <f t="shared" ca="1" si="3"/>
        <v>-4</v>
      </c>
    </row>
    <row r="96" spans="1:17" x14ac:dyDescent="0.2">
      <c r="A96" s="24" t="s">
        <v>285</v>
      </c>
      <c r="B96" s="13" t="s">
        <v>480</v>
      </c>
      <c r="C96" s="13" t="s">
        <v>585</v>
      </c>
      <c r="D96" s="14">
        <v>45938</v>
      </c>
      <c r="F96" s="13" t="s">
        <v>82</v>
      </c>
      <c r="G96" s="13">
        <v>26500</v>
      </c>
      <c r="H96" s="16">
        <v>7</v>
      </c>
      <c r="J96" s="16">
        <f t="shared" ca="1" si="4"/>
        <v>27</v>
      </c>
      <c r="K96" s="16" t="str" cm="1">
        <f t="array" aca="1" ref="K96" ca="1">_xlfn.IFS(J96&gt;=H96,"0",J96&lt;H96,"100")</f>
        <v>0</v>
      </c>
      <c r="Q96" s="17">
        <f t="shared" ca="1" si="3"/>
        <v>-3.8571428571428572</v>
      </c>
    </row>
    <row r="97" spans="1:17" x14ac:dyDescent="0.2">
      <c r="A97" s="24" t="s">
        <v>285</v>
      </c>
      <c r="B97" s="13" t="s">
        <v>480</v>
      </c>
      <c r="C97" s="13" t="s">
        <v>586</v>
      </c>
      <c r="D97" s="14">
        <v>45939</v>
      </c>
      <c r="F97" s="13" t="s">
        <v>82</v>
      </c>
      <c r="G97" s="13">
        <v>480</v>
      </c>
      <c r="H97" s="16">
        <v>7</v>
      </c>
      <c r="J97" s="16">
        <f t="shared" ca="1" si="4"/>
        <v>26</v>
      </c>
      <c r="K97" s="16" t="str" cm="1">
        <f t="array" aca="1" ref="K97" ca="1">_xlfn.IFS(J97&gt;=H97,"0",J97&lt;H97,"100")</f>
        <v>0</v>
      </c>
      <c r="Q97" s="17">
        <f t="shared" ca="1" si="3"/>
        <v>-3.7142857142857144</v>
      </c>
    </row>
    <row r="98" spans="1:17" x14ac:dyDescent="0.2">
      <c r="A98" s="24" t="s">
        <v>285</v>
      </c>
      <c r="B98" s="13" t="s">
        <v>480</v>
      </c>
      <c r="C98" s="13" t="s">
        <v>587</v>
      </c>
      <c r="D98" s="14">
        <v>45940</v>
      </c>
      <c r="F98" s="13" t="s">
        <v>82</v>
      </c>
      <c r="G98" s="13">
        <v>235</v>
      </c>
      <c r="H98" s="16">
        <v>7</v>
      </c>
      <c r="J98" s="16">
        <f t="shared" ca="1" si="4"/>
        <v>25</v>
      </c>
      <c r="K98" s="16" t="str" cm="1">
        <f t="array" aca="1" ref="K98" ca="1">_xlfn.IFS(J98&gt;=H98,"0",J98&lt;H98,"100")</f>
        <v>0</v>
      </c>
      <c r="Q98" s="17">
        <f t="shared" ca="1" si="3"/>
        <v>-3.5714285714285716</v>
      </c>
    </row>
    <row r="99" spans="1:17" x14ac:dyDescent="0.2">
      <c r="A99" s="24" t="s">
        <v>285</v>
      </c>
      <c r="B99" s="13" t="s">
        <v>480</v>
      </c>
      <c r="C99" s="13" t="s">
        <v>588</v>
      </c>
      <c r="D99" s="14">
        <v>45941</v>
      </c>
      <c r="F99" s="13" t="s">
        <v>82</v>
      </c>
      <c r="G99" s="13">
        <v>740</v>
      </c>
      <c r="H99" s="16">
        <v>7</v>
      </c>
      <c r="J99" s="16">
        <f t="shared" ca="1" si="4"/>
        <v>24</v>
      </c>
      <c r="K99" s="16" t="str" cm="1">
        <f t="array" aca="1" ref="K99" ca="1">_xlfn.IFS(J99&gt;=H99,"0",J99&lt;H99,"100")</f>
        <v>0</v>
      </c>
      <c r="M99" s="14">
        <v>45514</v>
      </c>
      <c r="N99" s="14">
        <v>45514</v>
      </c>
      <c r="Q99" s="17">
        <f t="shared" ca="1" si="3"/>
        <v>-3.4285714285714284</v>
      </c>
    </row>
    <row r="100" spans="1:17" x14ac:dyDescent="0.2">
      <c r="A100" s="13" t="s">
        <v>484</v>
      </c>
      <c r="B100" s="13" t="s">
        <v>480</v>
      </c>
      <c r="C100" s="13" t="s">
        <v>589</v>
      </c>
      <c r="D100" s="14">
        <v>45942</v>
      </c>
      <c r="E100" s="13" t="s">
        <v>293</v>
      </c>
      <c r="F100" s="13" t="s">
        <v>82</v>
      </c>
      <c r="G100" s="13" t="s">
        <v>294</v>
      </c>
      <c r="H100" s="16">
        <v>7</v>
      </c>
      <c r="I100" s="14">
        <v>45571</v>
      </c>
      <c r="J100" s="16">
        <f t="shared" ca="1" si="4"/>
        <v>-371</v>
      </c>
      <c r="K100" s="16" t="str" cm="1">
        <f t="array" aca="1" ref="K100" ca="1">_xlfn.IFS(J100&gt;=H100,"0",J100&lt;H100,"100")</f>
        <v>100</v>
      </c>
      <c r="M100" s="14">
        <v>45573</v>
      </c>
      <c r="Q100" s="17">
        <f t="shared" ca="1" si="3"/>
        <v>53</v>
      </c>
    </row>
    <row r="101" spans="1:17" x14ac:dyDescent="0.2">
      <c r="A101" s="13" t="s">
        <v>486</v>
      </c>
      <c r="B101" s="13" t="s">
        <v>482</v>
      </c>
      <c r="C101" s="13" t="s">
        <v>590</v>
      </c>
      <c r="D101" s="14">
        <v>45943</v>
      </c>
      <c r="E101" s="13" t="s">
        <v>728</v>
      </c>
      <c r="F101" s="13" t="s">
        <v>296</v>
      </c>
      <c r="G101" s="15">
        <v>21431.4</v>
      </c>
      <c r="H101" s="16">
        <v>7</v>
      </c>
      <c r="I101" s="14">
        <v>45573</v>
      </c>
      <c r="J101" s="16">
        <f t="shared" ca="1" si="4"/>
        <v>-370</v>
      </c>
      <c r="K101" s="16" t="str" cm="1">
        <f t="array" aca="1" ref="K101" ca="1">_xlfn.IFS(J101&gt;=H101,"0",J101&lt;H101,"100")</f>
        <v>100</v>
      </c>
      <c r="O101" s="13" t="s">
        <v>51</v>
      </c>
      <c r="Q101" s="17">
        <f t="shared" ca="1" si="3"/>
        <v>52.857142857142854</v>
      </c>
    </row>
    <row r="102" spans="1:17" x14ac:dyDescent="0.2">
      <c r="A102" s="13" t="s">
        <v>483</v>
      </c>
      <c r="B102" s="13" t="s">
        <v>480</v>
      </c>
      <c r="C102" s="13" t="s">
        <v>591</v>
      </c>
      <c r="D102" s="14">
        <v>45944</v>
      </c>
      <c r="E102" s="13" t="s">
        <v>231</v>
      </c>
      <c r="F102" s="13" t="s">
        <v>82</v>
      </c>
      <c r="G102" s="13">
        <v>494000</v>
      </c>
      <c r="H102" s="16">
        <v>15</v>
      </c>
      <c r="J102" s="16">
        <f t="shared" ca="1" si="4"/>
        <v>21</v>
      </c>
      <c r="K102" s="16" t="str" cm="1">
        <f t="array" aca="1" ref="K102" ca="1">_xlfn.IFS(J102&gt;=H102,"0",J102&lt;H102,"100")</f>
        <v>0</v>
      </c>
      <c r="Q102" s="17">
        <f t="shared" ca="1" si="3"/>
        <v>-1.4</v>
      </c>
    </row>
    <row r="103" spans="1:17" x14ac:dyDescent="0.2">
      <c r="A103" s="13" t="s">
        <v>486</v>
      </c>
      <c r="B103" s="13" t="s">
        <v>482</v>
      </c>
      <c r="C103" s="13" t="s">
        <v>592</v>
      </c>
      <c r="D103" s="14">
        <v>45945</v>
      </c>
      <c r="E103" s="13" t="s">
        <v>728</v>
      </c>
      <c r="F103" s="13" t="s">
        <v>299</v>
      </c>
      <c r="G103" s="13">
        <v>4500</v>
      </c>
      <c r="H103" s="16">
        <v>7</v>
      </c>
      <c r="J103" s="16">
        <f t="shared" ca="1" si="4"/>
        <v>20</v>
      </c>
      <c r="K103" s="16" t="str" cm="1">
        <f t="array" aca="1" ref="K103" ca="1">_xlfn.IFS(J103&gt;=H103,"0",J103&lt;H103,"100")</f>
        <v>0</v>
      </c>
      <c r="O103" s="13" t="s">
        <v>51</v>
      </c>
      <c r="Q103" s="17">
        <f t="shared" ca="1" si="3"/>
        <v>-2.8571428571428572</v>
      </c>
    </row>
    <row r="104" spans="1:17" x14ac:dyDescent="0.2">
      <c r="A104" s="13" t="s">
        <v>486</v>
      </c>
      <c r="B104" s="13" t="s">
        <v>482</v>
      </c>
      <c r="C104" s="13" t="s">
        <v>593</v>
      </c>
      <c r="D104" s="14">
        <v>45946</v>
      </c>
      <c r="E104" s="13" t="s">
        <v>728</v>
      </c>
      <c r="F104" s="13" t="s">
        <v>299</v>
      </c>
      <c r="G104" s="13">
        <v>4500</v>
      </c>
      <c r="H104" s="16">
        <v>7</v>
      </c>
      <c r="J104" s="16">
        <f t="shared" ca="1" si="4"/>
        <v>19</v>
      </c>
      <c r="K104" s="16" t="str" cm="1">
        <f t="array" aca="1" ref="K104" ca="1">_xlfn.IFS(J104&gt;=H104,"0",J104&lt;H104,"100")</f>
        <v>0</v>
      </c>
      <c r="O104" s="13" t="s">
        <v>51</v>
      </c>
      <c r="Q104" s="17">
        <f t="shared" ca="1" si="3"/>
        <v>-2.7142857142857144</v>
      </c>
    </row>
    <row r="105" spans="1:17" x14ac:dyDescent="0.2">
      <c r="A105" s="13" t="s">
        <v>486</v>
      </c>
      <c r="B105" s="13" t="s">
        <v>482</v>
      </c>
      <c r="C105" s="13" t="s">
        <v>594</v>
      </c>
      <c r="D105" s="14">
        <v>45947</v>
      </c>
      <c r="E105" s="13" t="s">
        <v>728</v>
      </c>
      <c r="F105" s="13" t="s">
        <v>303</v>
      </c>
      <c r="G105" s="13">
        <v>402.5</v>
      </c>
      <c r="H105" s="16">
        <v>7</v>
      </c>
      <c r="J105" s="16">
        <f t="shared" ca="1" si="4"/>
        <v>18</v>
      </c>
      <c r="K105" s="16" t="str" cm="1">
        <f t="array" aca="1" ref="K105" ca="1">_xlfn.IFS(J105&gt;=H105,"0",J105&lt;H105,"100")</f>
        <v>0</v>
      </c>
      <c r="O105" s="13" t="s">
        <v>51</v>
      </c>
      <c r="Q105" s="17">
        <f t="shared" ca="1" si="3"/>
        <v>-2.5714285714285716</v>
      </c>
    </row>
    <row r="106" spans="1:17" x14ac:dyDescent="0.2">
      <c r="A106" s="13" t="s">
        <v>486</v>
      </c>
      <c r="B106" s="13" t="s">
        <v>482</v>
      </c>
      <c r="C106" s="13" t="s">
        <v>595</v>
      </c>
      <c r="D106" s="14">
        <v>45948</v>
      </c>
      <c r="E106" s="13" t="s">
        <v>728</v>
      </c>
      <c r="F106" s="13" t="s">
        <v>304</v>
      </c>
      <c r="G106" s="13">
        <v>1</v>
      </c>
      <c r="H106" s="16">
        <v>7</v>
      </c>
      <c r="J106" s="16">
        <f t="shared" ca="1" si="4"/>
        <v>17</v>
      </c>
      <c r="K106" s="16" t="str" cm="1">
        <f t="array" aca="1" ref="K106" ca="1">_xlfn.IFS(J106&gt;=H106,"0",J106&lt;H106,"100")</f>
        <v>0</v>
      </c>
      <c r="M106" s="27"/>
      <c r="O106" s="13" t="s">
        <v>51</v>
      </c>
      <c r="Q106" s="17">
        <f t="shared" ca="1" si="3"/>
        <v>-2.4285714285714284</v>
      </c>
    </row>
    <row r="107" spans="1:17" x14ac:dyDescent="0.2">
      <c r="A107" s="13" t="s">
        <v>479</v>
      </c>
      <c r="B107" s="13" t="s">
        <v>480</v>
      </c>
      <c r="C107" s="13" t="s">
        <v>596</v>
      </c>
      <c r="D107" s="14">
        <v>45949</v>
      </c>
      <c r="E107" s="13" t="s">
        <v>306</v>
      </c>
      <c r="F107" s="13" t="s">
        <v>307</v>
      </c>
      <c r="G107" s="13">
        <v>420</v>
      </c>
      <c r="H107" s="16">
        <v>7</v>
      </c>
      <c r="I107" s="14">
        <v>45538</v>
      </c>
      <c r="J107" s="16">
        <v>0</v>
      </c>
      <c r="K107" s="16" t="str" cm="1">
        <f t="array" ref="K107">_xlfn.IFS(J107&gt;=H107,"0",J107&lt;H107,"100")</f>
        <v>100</v>
      </c>
      <c r="L107" s="24" t="s">
        <v>308</v>
      </c>
      <c r="M107" s="27" t="s">
        <v>200</v>
      </c>
      <c r="N107" s="14">
        <v>45574</v>
      </c>
      <c r="O107" s="45" t="s">
        <v>24</v>
      </c>
      <c r="P107" s="13" t="s">
        <v>32</v>
      </c>
      <c r="Q107" s="17">
        <f t="shared" si="3"/>
        <v>0</v>
      </c>
    </row>
    <row r="108" spans="1:17" x14ac:dyDescent="0.2">
      <c r="A108" s="13" t="s">
        <v>479</v>
      </c>
      <c r="B108" s="13" t="s">
        <v>480</v>
      </c>
      <c r="C108" s="13" t="s">
        <v>597</v>
      </c>
      <c r="D108" s="14">
        <v>45950</v>
      </c>
      <c r="E108" s="13" t="s">
        <v>306</v>
      </c>
      <c r="F108" s="13" t="s">
        <v>310</v>
      </c>
      <c r="G108" s="13">
        <v>420</v>
      </c>
      <c r="H108" s="16">
        <v>7</v>
      </c>
      <c r="I108" s="14">
        <v>45538</v>
      </c>
      <c r="J108" s="16">
        <v>0</v>
      </c>
      <c r="K108" s="16" t="str" cm="1">
        <f t="array" ref="K108">_xlfn.IFS(J108&gt;=H108,"0",J108&lt;H108,"100")</f>
        <v>100</v>
      </c>
      <c r="L108" s="24" t="s">
        <v>308</v>
      </c>
      <c r="M108" s="27" t="s">
        <v>200</v>
      </c>
      <c r="N108" s="14">
        <v>45574</v>
      </c>
      <c r="O108" s="45" t="s">
        <v>24</v>
      </c>
      <c r="P108" s="13" t="s">
        <v>32</v>
      </c>
      <c r="Q108" s="17">
        <f t="shared" si="3"/>
        <v>0</v>
      </c>
    </row>
    <row r="109" spans="1:17" x14ac:dyDescent="0.2">
      <c r="A109" s="13" t="s">
        <v>479</v>
      </c>
      <c r="B109" s="13" t="s">
        <v>480</v>
      </c>
      <c r="C109" s="13" t="s">
        <v>598</v>
      </c>
      <c r="D109" s="14">
        <v>45951</v>
      </c>
      <c r="E109" s="13" t="s">
        <v>312</v>
      </c>
      <c r="F109" s="13" t="s">
        <v>313</v>
      </c>
      <c r="G109" s="13">
        <v>220</v>
      </c>
      <c r="H109" s="16">
        <v>7</v>
      </c>
      <c r="I109" s="14">
        <v>45505</v>
      </c>
      <c r="J109" s="16">
        <v>0</v>
      </c>
      <c r="K109" s="16" t="str" cm="1">
        <f t="array" ref="K109">_xlfn.IFS(J109&gt;=H109,"0",J109&lt;H109,"100")</f>
        <v>100</v>
      </c>
      <c r="L109" s="24" t="s">
        <v>314</v>
      </c>
      <c r="M109" s="27" t="s">
        <v>265</v>
      </c>
      <c r="N109" s="14">
        <v>45574</v>
      </c>
      <c r="O109" s="45" t="s">
        <v>24</v>
      </c>
      <c r="P109" s="13" t="s">
        <v>32</v>
      </c>
      <c r="Q109" s="17">
        <f t="shared" si="3"/>
        <v>0</v>
      </c>
    </row>
    <row r="110" spans="1:17" x14ac:dyDescent="0.2">
      <c r="A110" s="13" t="s">
        <v>479</v>
      </c>
      <c r="B110" s="13" t="s">
        <v>480</v>
      </c>
      <c r="C110" s="13" t="s">
        <v>599</v>
      </c>
      <c r="D110" s="14">
        <v>45952</v>
      </c>
      <c r="E110" s="13" t="s">
        <v>316</v>
      </c>
      <c r="F110" s="13" t="s">
        <v>317</v>
      </c>
      <c r="G110" s="13">
        <v>97</v>
      </c>
      <c r="H110" s="16">
        <v>7</v>
      </c>
      <c r="I110" s="14">
        <v>45574</v>
      </c>
      <c r="J110" s="16">
        <f t="shared" ref="J110:J115" ca="1" si="5">IF(ISBLANK(I110),TODAY()-D110,I110-D110)</f>
        <v>-378</v>
      </c>
      <c r="K110" s="16" t="str" cm="1">
        <f t="array" aca="1" ref="K110" ca="1">_xlfn.IFS(J110&gt;=H110,"0",J110&lt;H110,"100")</f>
        <v>100</v>
      </c>
      <c r="L110" s="24" t="s">
        <v>318</v>
      </c>
      <c r="M110" s="27" t="s">
        <v>281</v>
      </c>
      <c r="O110" s="13" t="s">
        <v>51</v>
      </c>
      <c r="Q110" s="17">
        <f t="shared" ca="1" si="3"/>
        <v>54</v>
      </c>
    </row>
    <row r="111" spans="1:17" x14ac:dyDescent="0.2">
      <c r="A111" s="13" t="s">
        <v>479</v>
      </c>
      <c r="B111" s="13" t="s">
        <v>480</v>
      </c>
      <c r="C111" s="13" t="s">
        <v>600</v>
      </c>
      <c r="D111" s="14">
        <v>45953</v>
      </c>
      <c r="E111" s="13" t="s">
        <v>319</v>
      </c>
      <c r="F111" s="13" t="s">
        <v>317</v>
      </c>
      <c r="G111" s="13">
        <v>426.1</v>
      </c>
      <c r="H111" s="16">
        <v>7</v>
      </c>
      <c r="I111" s="14">
        <v>45574</v>
      </c>
      <c r="J111" s="16">
        <f t="shared" ca="1" si="5"/>
        <v>-379</v>
      </c>
      <c r="K111" s="16" t="str" cm="1">
        <f t="array" aca="1" ref="K111" ca="1">_xlfn.IFS(J111&gt;=H111,"0",J111&lt;H111,"100")</f>
        <v>100</v>
      </c>
      <c r="L111" s="24" t="s">
        <v>318</v>
      </c>
      <c r="M111" s="27" t="s">
        <v>281</v>
      </c>
      <c r="O111" s="13" t="s">
        <v>51</v>
      </c>
      <c r="Q111" s="17">
        <f t="shared" ca="1" si="3"/>
        <v>54.142857142857146</v>
      </c>
    </row>
    <row r="112" spans="1:17" x14ac:dyDescent="0.2">
      <c r="A112" s="13" t="s">
        <v>479</v>
      </c>
      <c r="B112" s="13" t="s">
        <v>480</v>
      </c>
      <c r="C112" s="13" t="s">
        <v>601</v>
      </c>
      <c r="D112" s="14">
        <v>45954</v>
      </c>
      <c r="E112" s="13" t="s">
        <v>320</v>
      </c>
      <c r="F112" s="13" t="s">
        <v>317</v>
      </c>
      <c r="G112" s="13">
        <v>500</v>
      </c>
      <c r="H112" s="16">
        <v>7</v>
      </c>
      <c r="I112" s="14">
        <v>45574</v>
      </c>
      <c r="J112" s="16">
        <f t="shared" ca="1" si="5"/>
        <v>-380</v>
      </c>
      <c r="K112" s="16" t="str" cm="1">
        <f t="array" aca="1" ref="K112" ca="1">_xlfn.IFS(J112&gt;=H112,"0",J112&lt;H112,"100")</f>
        <v>100</v>
      </c>
      <c r="L112" s="24" t="s">
        <v>318</v>
      </c>
      <c r="M112" s="27" t="s">
        <v>281</v>
      </c>
      <c r="O112" s="13" t="s">
        <v>51</v>
      </c>
      <c r="Q112" s="17">
        <f t="shared" ca="1" si="3"/>
        <v>54.285714285714285</v>
      </c>
    </row>
    <row r="113" spans="1:17" x14ac:dyDescent="0.2">
      <c r="A113" s="13" t="s">
        <v>479</v>
      </c>
      <c r="B113" s="13" t="s">
        <v>480</v>
      </c>
      <c r="C113" s="13" t="s">
        <v>602</v>
      </c>
      <c r="D113" s="14">
        <v>45955</v>
      </c>
      <c r="E113" s="13" t="s">
        <v>321</v>
      </c>
      <c r="F113" s="13" t="s">
        <v>317</v>
      </c>
      <c r="G113" s="13">
        <v>1350</v>
      </c>
      <c r="H113" s="16">
        <v>7</v>
      </c>
      <c r="I113" s="14">
        <v>45574</v>
      </c>
      <c r="J113" s="16">
        <f t="shared" ca="1" si="5"/>
        <v>-381</v>
      </c>
      <c r="K113" s="16" t="str" cm="1">
        <f t="array" aca="1" ref="K113" ca="1">_xlfn.IFS(J113&gt;=H113,"0",J113&lt;H113,"100")</f>
        <v>100</v>
      </c>
      <c r="L113" s="24" t="s">
        <v>322</v>
      </c>
      <c r="M113" s="27" t="s">
        <v>281</v>
      </c>
      <c r="O113" s="13" t="s">
        <v>51</v>
      </c>
      <c r="Q113" s="17">
        <f t="shared" ca="1" si="3"/>
        <v>54.428571428571431</v>
      </c>
    </row>
    <row r="114" spans="1:17" x14ac:dyDescent="0.2">
      <c r="A114" s="13" t="s">
        <v>479</v>
      </c>
      <c r="B114" s="13" t="s">
        <v>480</v>
      </c>
      <c r="C114" s="13" t="s">
        <v>603</v>
      </c>
      <c r="D114" s="14">
        <v>45956</v>
      </c>
      <c r="E114" s="13" t="s">
        <v>323</v>
      </c>
      <c r="F114" s="13" t="s">
        <v>317</v>
      </c>
      <c r="G114" s="13">
        <v>50</v>
      </c>
      <c r="H114" s="16">
        <v>7</v>
      </c>
      <c r="I114" s="14">
        <v>45574</v>
      </c>
      <c r="J114" s="16">
        <f t="shared" ca="1" si="5"/>
        <v>-382</v>
      </c>
      <c r="K114" s="16" t="str" cm="1">
        <f t="array" aca="1" ref="K114" ca="1">_xlfn.IFS(J114&gt;=H114,"0",J114&lt;H114,"100")</f>
        <v>100</v>
      </c>
      <c r="L114" s="24" t="s">
        <v>324</v>
      </c>
      <c r="M114" s="27" t="s">
        <v>325</v>
      </c>
      <c r="O114" s="13" t="s">
        <v>51</v>
      </c>
      <c r="Q114" s="17">
        <f t="shared" ca="1" si="3"/>
        <v>54.571428571428569</v>
      </c>
    </row>
    <row r="115" spans="1:17" x14ac:dyDescent="0.2">
      <c r="A115" s="13" t="s">
        <v>479</v>
      </c>
      <c r="B115" s="13" t="s">
        <v>480</v>
      </c>
      <c r="C115" s="13" t="s">
        <v>604</v>
      </c>
      <c r="D115" s="14">
        <v>45957</v>
      </c>
      <c r="E115" s="13" t="s">
        <v>327</v>
      </c>
      <c r="F115" s="13" t="s">
        <v>328</v>
      </c>
      <c r="G115" s="13">
        <v>4260</v>
      </c>
      <c r="H115" s="16">
        <v>7</v>
      </c>
      <c r="I115" s="14">
        <v>45574</v>
      </c>
      <c r="J115" s="16">
        <f t="shared" ca="1" si="5"/>
        <v>-383</v>
      </c>
      <c r="K115" s="16" t="str" cm="1">
        <f t="array" aca="1" ref="K115" ca="1">_xlfn.IFS(J115&gt;=H115,"0",J115&lt;H115,"100")</f>
        <v>100</v>
      </c>
      <c r="M115" s="27" t="s">
        <v>329</v>
      </c>
      <c r="O115" s="13" t="s">
        <v>51</v>
      </c>
      <c r="Q115" s="17">
        <f t="shared" ca="1" si="3"/>
        <v>54.714285714285715</v>
      </c>
    </row>
    <row r="116" spans="1:17" x14ac:dyDescent="0.2">
      <c r="A116" s="13" t="s">
        <v>479</v>
      </c>
      <c r="B116" s="13" t="s">
        <v>480</v>
      </c>
      <c r="C116" s="13" t="s">
        <v>605</v>
      </c>
      <c r="D116" s="14">
        <v>45958</v>
      </c>
      <c r="E116" s="13" t="s">
        <v>330</v>
      </c>
      <c r="F116" s="13" t="s">
        <v>331</v>
      </c>
      <c r="G116" s="13">
        <v>3220</v>
      </c>
      <c r="I116" s="14">
        <v>45575</v>
      </c>
      <c r="J116" s="46"/>
      <c r="K116" s="46"/>
      <c r="L116" s="13" t="s">
        <v>332</v>
      </c>
      <c r="M116" s="27"/>
      <c r="Q116" s="17" t="e">
        <f t="shared" si="3"/>
        <v>#DIV/0!</v>
      </c>
    </row>
    <row r="117" spans="1:17" x14ac:dyDescent="0.2">
      <c r="A117" s="13" t="s">
        <v>479</v>
      </c>
      <c r="B117" s="13" t="s">
        <v>480</v>
      </c>
      <c r="C117" s="13" t="s">
        <v>606</v>
      </c>
      <c r="D117" s="14">
        <v>45959</v>
      </c>
      <c r="E117" s="13" t="s">
        <v>333</v>
      </c>
      <c r="F117" s="13" t="s">
        <v>49</v>
      </c>
      <c r="G117" s="13">
        <v>1380</v>
      </c>
      <c r="I117" s="14">
        <v>45575</v>
      </c>
      <c r="J117" s="46"/>
      <c r="K117" s="46"/>
      <c r="L117" s="13" t="s">
        <v>334</v>
      </c>
      <c r="Q117" s="17" t="e">
        <f t="shared" si="3"/>
        <v>#DIV/0!</v>
      </c>
    </row>
    <row r="118" spans="1:17" x14ac:dyDescent="0.2">
      <c r="A118" s="13" t="s">
        <v>479</v>
      </c>
      <c r="B118" s="13" t="s">
        <v>480</v>
      </c>
      <c r="C118" s="13" t="s">
        <v>607</v>
      </c>
      <c r="D118" s="14">
        <v>45960</v>
      </c>
      <c r="G118" s="13">
        <v>38700</v>
      </c>
      <c r="J118" s="46"/>
      <c r="K118" s="46"/>
      <c r="L118" s="13" t="s">
        <v>335</v>
      </c>
      <c r="Q118" s="17" t="e">
        <f t="shared" si="3"/>
        <v>#DIV/0!</v>
      </c>
    </row>
    <row r="119" spans="1:17" x14ac:dyDescent="0.2">
      <c r="A119" s="13" t="s">
        <v>479</v>
      </c>
      <c r="B119" s="13" t="s">
        <v>480</v>
      </c>
      <c r="C119" s="13" t="s">
        <v>608</v>
      </c>
      <c r="D119" s="14">
        <v>45961</v>
      </c>
      <c r="E119" s="13" t="s">
        <v>336</v>
      </c>
      <c r="F119" s="13" t="s">
        <v>331</v>
      </c>
      <c r="G119" s="13">
        <v>2660.4</v>
      </c>
      <c r="I119" s="14">
        <v>45575</v>
      </c>
      <c r="J119" s="46"/>
      <c r="K119" s="46"/>
      <c r="L119" s="13" t="s">
        <v>337</v>
      </c>
      <c r="Q119" s="17" t="e">
        <f t="shared" si="3"/>
        <v>#DIV/0!</v>
      </c>
    </row>
    <row r="120" spans="1:17" x14ac:dyDescent="0.2">
      <c r="A120" s="13" t="s">
        <v>488</v>
      </c>
      <c r="B120" s="13" t="s">
        <v>481</v>
      </c>
      <c r="C120" s="13" t="s">
        <v>609</v>
      </c>
      <c r="D120" s="14">
        <v>45933</v>
      </c>
      <c r="E120" s="13" t="s">
        <v>338</v>
      </c>
      <c r="F120" s="13" t="s">
        <v>339</v>
      </c>
      <c r="G120" s="47">
        <v>1109.06</v>
      </c>
      <c r="I120" s="14">
        <v>45574</v>
      </c>
      <c r="J120" s="46"/>
      <c r="K120" s="46"/>
      <c r="L120" s="13" t="s">
        <v>340</v>
      </c>
      <c r="N120" s="14" t="s">
        <v>37</v>
      </c>
      <c r="O120" s="13" t="s">
        <v>51</v>
      </c>
    </row>
    <row r="121" spans="1:17" x14ac:dyDescent="0.2">
      <c r="A121" s="13" t="s">
        <v>488</v>
      </c>
      <c r="B121" s="13" t="s">
        <v>481</v>
      </c>
      <c r="C121" s="13" t="s">
        <v>610</v>
      </c>
      <c r="D121" s="14">
        <v>45934</v>
      </c>
      <c r="E121" s="13" t="s">
        <v>338</v>
      </c>
      <c r="F121" s="13" t="s">
        <v>341</v>
      </c>
      <c r="G121" s="47">
        <v>1109.06</v>
      </c>
      <c r="I121" s="14">
        <v>45574</v>
      </c>
      <c r="J121" s="46"/>
      <c r="K121" s="46"/>
      <c r="L121" s="13" t="s">
        <v>342</v>
      </c>
      <c r="M121" s="14">
        <v>45578</v>
      </c>
      <c r="N121" s="14">
        <v>45579</v>
      </c>
      <c r="O121" s="13" t="s">
        <v>24</v>
      </c>
      <c r="P121" s="13" t="s">
        <v>343</v>
      </c>
    </row>
    <row r="122" spans="1:17" x14ac:dyDescent="0.2">
      <c r="A122" s="13" t="s">
        <v>488</v>
      </c>
      <c r="B122" s="13" t="s">
        <v>481</v>
      </c>
      <c r="C122" s="13" t="s">
        <v>611</v>
      </c>
      <c r="D122" s="14">
        <v>45935</v>
      </c>
      <c r="E122" s="13" t="s">
        <v>344</v>
      </c>
      <c r="F122" s="13" t="s">
        <v>345</v>
      </c>
      <c r="G122" s="13">
        <v>42780</v>
      </c>
      <c r="J122" s="46"/>
      <c r="K122" s="46"/>
      <c r="O122" s="13" t="s">
        <v>51</v>
      </c>
      <c r="P122" s="13" t="s">
        <v>346</v>
      </c>
    </row>
    <row r="123" spans="1:17" x14ac:dyDescent="0.2">
      <c r="A123" s="13" t="s">
        <v>479</v>
      </c>
      <c r="B123" s="13" t="s">
        <v>480</v>
      </c>
      <c r="C123" s="13" t="s">
        <v>612</v>
      </c>
      <c r="D123" s="14">
        <v>45936</v>
      </c>
      <c r="E123" s="13" t="s">
        <v>347</v>
      </c>
      <c r="F123" s="13" t="s">
        <v>348</v>
      </c>
      <c r="G123" s="13">
        <v>78649.5</v>
      </c>
      <c r="H123" s="48">
        <v>45575</v>
      </c>
      <c r="I123" s="14">
        <v>45575</v>
      </c>
      <c r="J123" s="49" t="s">
        <v>349</v>
      </c>
      <c r="K123" s="50"/>
      <c r="L123" s="24" t="s">
        <v>349</v>
      </c>
      <c r="M123" s="27" t="s">
        <v>281</v>
      </c>
      <c r="O123" s="13" t="s">
        <v>51</v>
      </c>
    </row>
    <row r="124" spans="1:17" x14ac:dyDescent="0.2">
      <c r="A124" s="13" t="s">
        <v>479</v>
      </c>
      <c r="B124" s="13" t="s">
        <v>480</v>
      </c>
      <c r="C124" s="13" t="s">
        <v>613</v>
      </c>
      <c r="D124" s="14">
        <v>45937</v>
      </c>
      <c r="E124" s="13" t="s">
        <v>350</v>
      </c>
      <c r="F124" s="13" t="s">
        <v>351</v>
      </c>
      <c r="G124" s="13">
        <v>300.14999999999998</v>
      </c>
      <c r="H124" s="48">
        <v>45575</v>
      </c>
      <c r="I124" s="14">
        <v>45575</v>
      </c>
      <c r="J124" s="49" t="s">
        <v>352</v>
      </c>
      <c r="K124" s="49"/>
      <c r="L124" s="24" t="s">
        <v>352</v>
      </c>
      <c r="M124" s="27"/>
      <c r="O124" s="13" t="s">
        <v>51</v>
      </c>
    </row>
    <row r="125" spans="1:17" x14ac:dyDescent="0.2">
      <c r="A125" s="13" t="s">
        <v>489</v>
      </c>
      <c r="B125" s="13" t="s">
        <v>481</v>
      </c>
      <c r="C125" s="13" t="s">
        <v>614</v>
      </c>
      <c r="D125" s="14">
        <v>45938</v>
      </c>
      <c r="E125" s="13" t="s">
        <v>353</v>
      </c>
      <c r="F125" s="13" t="s">
        <v>354</v>
      </c>
      <c r="G125" s="47">
        <v>1890</v>
      </c>
      <c r="I125" s="14">
        <v>45578</v>
      </c>
      <c r="L125" s="13" t="s">
        <v>355</v>
      </c>
      <c r="M125" s="14">
        <v>45578</v>
      </c>
      <c r="N125" s="14">
        <v>45582</v>
      </c>
      <c r="O125" s="13" t="s">
        <v>51</v>
      </c>
      <c r="P125" s="13" t="s">
        <v>343</v>
      </c>
    </row>
    <row r="126" spans="1:17" x14ac:dyDescent="0.2">
      <c r="A126" s="13" t="s">
        <v>479</v>
      </c>
      <c r="B126" s="13" t="s">
        <v>480</v>
      </c>
      <c r="C126" s="13" t="s">
        <v>615</v>
      </c>
      <c r="D126" s="14">
        <v>45939</v>
      </c>
      <c r="E126" s="13" t="s">
        <v>350</v>
      </c>
      <c r="F126" s="13" t="s">
        <v>351</v>
      </c>
      <c r="G126" s="49">
        <v>300.14999999999998</v>
      </c>
      <c r="I126" s="14">
        <v>45575</v>
      </c>
      <c r="L126" s="49" t="s">
        <v>352</v>
      </c>
      <c r="O126" s="13" t="s">
        <v>51</v>
      </c>
      <c r="P126" s="13" t="s">
        <v>346</v>
      </c>
    </row>
    <row r="127" spans="1:17" x14ac:dyDescent="0.2">
      <c r="A127" s="13" t="s">
        <v>479</v>
      </c>
      <c r="B127" s="13" t="s">
        <v>480</v>
      </c>
      <c r="C127" s="13" t="s">
        <v>616</v>
      </c>
      <c r="D127" s="14">
        <v>45940</v>
      </c>
      <c r="E127" s="13" t="s">
        <v>356</v>
      </c>
      <c r="F127" s="13" t="s">
        <v>357</v>
      </c>
      <c r="G127" s="50">
        <v>2610.5</v>
      </c>
      <c r="I127" s="14">
        <v>45575</v>
      </c>
      <c r="L127" s="50" t="s">
        <v>358</v>
      </c>
      <c r="M127" s="14" t="s">
        <v>281</v>
      </c>
      <c r="O127" s="13" t="s">
        <v>51</v>
      </c>
    </row>
    <row r="128" spans="1:17" x14ac:dyDescent="0.2">
      <c r="A128" s="13" t="s">
        <v>479</v>
      </c>
      <c r="B128" s="13" t="s">
        <v>480</v>
      </c>
      <c r="C128" s="13" t="s">
        <v>617</v>
      </c>
      <c r="D128" s="14">
        <v>45941</v>
      </c>
      <c r="E128" s="13" t="s">
        <v>260</v>
      </c>
      <c r="F128" s="13" t="s">
        <v>357</v>
      </c>
      <c r="G128" s="50">
        <v>1150</v>
      </c>
      <c r="I128" s="14">
        <v>45575</v>
      </c>
      <c r="L128" s="50" t="s">
        <v>359</v>
      </c>
      <c r="M128" s="14" t="s">
        <v>281</v>
      </c>
      <c r="O128" s="13" t="s">
        <v>51</v>
      </c>
    </row>
    <row r="129" spans="1:15" x14ac:dyDescent="0.2">
      <c r="A129" s="13" t="s">
        <v>479</v>
      </c>
      <c r="B129" s="13" t="s">
        <v>480</v>
      </c>
      <c r="C129" s="13" t="s">
        <v>618</v>
      </c>
      <c r="D129" s="14">
        <v>45942</v>
      </c>
      <c r="E129" s="13" t="s">
        <v>360</v>
      </c>
      <c r="F129" s="13" t="s">
        <v>361</v>
      </c>
      <c r="G129" s="50">
        <v>690</v>
      </c>
      <c r="I129" s="14" t="s">
        <v>362</v>
      </c>
      <c r="L129" s="50" t="s">
        <v>363</v>
      </c>
      <c r="M129" s="14" t="s">
        <v>281</v>
      </c>
      <c r="O129" s="13" t="s">
        <v>51</v>
      </c>
    </row>
    <row r="130" spans="1:15" x14ac:dyDescent="0.2">
      <c r="A130" s="13" t="s">
        <v>479</v>
      </c>
      <c r="B130" s="13" t="s">
        <v>480</v>
      </c>
      <c r="C130" s="13" t="s">
        <v>619</v>
      </c>
      <c r="D130" s="14">
        <v>45943</v>
      </c>
      <c r="E130" s="13" t="s">
        <v>364</v>
      </c>
      <c r="F130" s="13" t="s">
        <v>365</v>
      </c>
      <c r="G130" s="13">
        <v>38700</v>
      </c>
      <c r="I130" s="14">
        <v>45578</v>
      </c>
      <c r="L130" s="13" t="s">
        <v>366</v>
      </c>
    </row>
    <row r="131" spans="1:15" x14ac:dyDescent="0.2">
      <c r="A131" s="13" t="s">
        <v>479</v>
      </c>
      <c r="B131" s="13" t="s">
        <v>480</v>
      </c>
      <c r="C131" s="13" t="s">
        <v>620</v>
      </c>
      <c r="D131" s="14">
        <v>45944</v>
      </c>
      <c r="E131" s="13" t="s">
        <v>367</v>
      </c>
      <c r="F131" s="13" t="s">
        <v>49</v>
      </c>
      <c r="G131" s="13">
        <v>46800</v>
      </c>
      <c r="L131" s="13" t="s">
        <v>368</v>
      </c>
    </row>
    <row r="132" spans="1:15" x14ac:dyDescent="0.2">
      <c r="A132" s="13" t="s">
        <v>479</v>
      </c>
      <c r="B132" s="13" t="s">
        <v>480</v>
      </c>
      <c r="C132" s="13" t="s">
        <v>621</v>
      </c>
      <c r="D132" s="14">
        <v>45945</v>
      </c>
      <c r="E132" s="13" t="s">
        <v>369</v>
      </c>
      <c r="F132" s="13" t="s">
        <v>49</v>
      </c>
      <c r="G132" s="13">
        <v>6500</v>
      </c>
      <c r="L132" s="13" t="s">
        <v>368</v>
      </c>
    </row>
    <row r="133" spans="1:15" x14ac:dyDescent="0.2">
      <c r="A133" s="13" t="s">
        <v>479</v>
      </c>
      <c r="B133" s="13" t="s">
        <v>480</v>
      </c>
      <c r="C133" s="13" t="s">
        <v>622</v>
      </c>
      <c r="D133" s="14">
        <v>45946</v>
      </c>
      <c r="E133" s="13" t="s">
        <v>370</v>
      </c>
      <c r="F133" s="13" t="s">
        <v>49</v>
      </c>
      <c r="G133" s="13">
        <v>18100</v>
      </c>
      <c r="L133" s="13" t="s">
        <v>368</v>
      </c>
    </row>
    <row r="134" spans="1:15" x14ac:dyDescent="0.2">
      <c r="A134" s="13" t="s">
        <v>479</v>
      </c>
      <c r="B134" s="13" t="s">
        <v>480</v>
      </c>
      <c r="C134" s="13" t="s">
        <v>623</v>
      </c>
      <c r="D134" s="14">
        <v>45947</v>
      </c>
      <c r="E134" s="13" t="s">
        <v>371</v>
      </c>
      <c r="F134" s="13" t="s">
        <v>219</v>
      </c>
      <c r="G134" s="50">
        <v>11608</v>
      </c>
      <c r="I134" s="14" t="s">
        <v>372</v>
      </c>
      <c r="L134" s="50" t="s">
        <v>273</v>
      </c>
      <c r="M134" s="49" t="s">
        <v>31</v>
      </c>
      <c r="O134" s="13" t="s">
        <v>51</v>
      </c>
    </row>
    <row r="135" spans="1:15" x14ac:dyDescent="0.2">
      <c r="A135" s="13" t="s">
        <v>479</v>
      </c>
      <c r="B135" s="13" t="s">
        <v>480</v>
      </c>
      <c r="C135" s="13" t="s">
        <v>624</v>
      </c>
      <c r="D135" s="14">
        <v>45948</v>
      </c>
      <c r="E135" s="13" t="s">
        <v>373</v>
      </c>
      <c r="F135" s="13" t="s">
        <v>219</v>
      </c>
      <c r="G135" s="50">
        <v>1058</v>
      </c>
      <c r="I135" s="14">
        <v>45575</v>
      </c>
      <c r="L135" s="50" t="s">
        <v>374</v>
      </c>
      <c r="M135" s="49" t="s">
        <v>281</v>
      </c>
      <c r="O135" s="13" t="s">
        <v>51</v>
      </c>
    </row>
    <row r="136" spans="1:15" x14ac:dyDescent="0.2">
      <c r="A136" s="13" t="s">
        <v>479</v>
      </c>
      <c r="B136" s="13" t="s">
        <v>480</v>
      </c>
      <c r="C136" s="13" t="s">
        <v>625</v>
      </c>
      <c r="D136" s="14">
        <v>45949</v>
      </c>
      <c r="E136" s="13" t="s">
        <v>375</v>
      </c>
      <c r="F136" s="13" t="s">
        <v>376</v>
      </c>
      <c r="G136" s="50">
        <v>7350</v>
      </c>
      <c r="I136" s="14">
        <v>45360</v>
      </c>
      <c r="L136" s="50" t="s">
        <v>377</v>
      </c>
      <c r="M136" s="14" t="s">
        <v>378</v>
      </c>
      <c r="O136" s="13" t="s">
        <v>51</v>
      </c>
    </row>
    <row r="137" spans="1:15" x14ac:dyDescent="0.2">
      <c r="A137" s="13" t="s">
        <v>479</v>
      </c>
      <c r="B137" s="13" t="s">
        <v>480</v>
      </c>
      <c r="C137" s="13" t="s">
        <v>626</v>
      </c>
      <c r="D137" s="14">
        <v>45950</v>
      </c>
      <c r="E137" s="13" t="s">
        <v>379</v>
      </c>
      <c r="F137" s="13" t="s">
        <v>219</v>
      </c>
      <c r="G137" s="50">
        <v>1121.5</v>
      </c>
      <c r="I137" s="14" t="s">
        <v>272</v>
      </c>
      <c r="L137" s="50" t="s">
        <v>380</v>
      </c>
      <c r="M137" s="14" t="s">
        <v>31</v>
      </c>
      <c r="O137" s="13" t="s">
        <v>51</v>
      </c>
    </row>
    <row r="138" spans="1:15" x14ac:dyDescent="0.2">
      <c r="A138" s="13" t="s">
        <v>479</v>
      </c>
      <c r="B138" s="13" t="s">
        <v>480</v>
      </c>
      <c r="C138" s="13" t="s">
        <v>627</v>
      </c>
      <c r="D138" s="14">
        <v>45951</v>
      </c>
      <c r="E138" s="13" t="s">
        <v>381</v>
      </c>
      <c r="F138" s="13" t="s">
        <v>382</v>
      </c>
      <c r="G138" s="50">
        <v>69</v>
      </c>
      <c r="I138" s="14" t="s">
        <v>383</v>
      </c>
      <c r="L138" s="50" t="s">
        <v>384</v>
      </c>
      <c r="M138" s="14" t="s">
        <v>281</v>
      </c>
      <c r="O138" s="13" t="s">
        <v>51</v>
      </c>
    </row>
    <row r="139" spans="1:15" x14ac:dyDescent="0.2">
      <c r="A139" s="13" t="s">
        <v>479</v>
      </c>
      <c r="B139" s="13" t="s">
        <v>480</v>
      </c>
      <c r="C139" s="13" t="s">
        <v>628</v>
      </c>
      <c r="D139" s="14">
        <v>45952</v>
      </c>
      <c r="E139" s="13" t="s">
        <v>385</v>
      </c>
      <c r="F139" s="13" t="s">
        <v>386</v>
      </c>
      <c r="G139" s="50">
        <v>5405</v>
      </c>
      <c r="I139" s="14" t="s">
        <v>383</v>
      </c>
      <c r="L139" s="50" t="s">
        <v>387</v>
      </c>
      <c r="O139" s="13" t="s">
        <v>51</v>
      </c>
    </row>
    <row r="140" spans="1:15" x14ac:dyDescent="0.2">
      <c r="A140" s="13" t="s">
        <v>485</v>
      </c>
      <c r="B140" s="13" t="s">
        <v>482</v>
      </c>
      <c r="C140" s="13" t="s">
        <v>629</v>
      </c>
      <c r="D140" s="14">
        <v>45953</v>
      </c>
      <c r="E140" s="13" t="s">
        <v>728</v>
      </c>
      <c r="F140" s="13" t="s">
        <v>158</v>
      </c>
      <c r="G140" s="15">
        <v>9039</v>
      </c>
    </row>
    <row r="141" spans="1:15" x14ac:dyDescent="0.2">
      <c r="A141" s="13" t="s">
        <v>485</v>
      </c>
      <c r="B141" s="13" t="s">
        <v>482</v>
      </c>
      <c r="C141" s="13" t="s">
        <v>630</v>
      </c>
      <c r="D141" s="14">
        <v>45954</v>
      </c>
      <c r="E141" s="13" t="s">
        <v>728</v>
      </c>
      <c r="F141" s="13" t="s">
        <v>158</v>
      </c>
      <c r="G141" s="15">
        <v>12305</v>
      </c>
    </row>
    <row r="142" spans="1:15" x14ac:dyDescent="0.2">
      <c r="A142" s="13" t="s">
        <v>485</v>
      </c>
      <c r="B142" s="13" t="s">
        <v>482</v>
      </c>
      <c r="C142" s="13" t="s">
        <v>631</v>
      </c>
      <c r="D142" s="14">
        <v>45955</v>
      </c>
      <c r="E142" s="13" t="s">
        <v>728</v>
      </c>
      <c r="F142" s="13" t="s">
        <v>158</v>
      </c>
      <c r="G142" s="15">
        <v>8517.89</v>
      </c>
    </row>
    <row r="143" spans="1:15" x14ac:dyDescent="0.2">
      <c r="A143" s="13" t="s">
        <v>485</v>
      </c>
      <c r="B143" s="13" t="s">
        <v>482</v>
      </c>
      <c r="C143" s="13" t="s">
        <v>632</v>
      </c>
      <c r="D143" s="14">
        <v>45956</v>
      </c>
      <c r="E143" s="13" t="s">
        <v>729</v>
      </c>
      <c r="F143" s="13" t="s">
        <v>158</v>
      </c>
      <c r="G143" s="15">
        <v>9200</v>
      </c>
    </row>
    <row r="144" spans="1:15" x14ac:dyDescent="0.2">
      <c r="A144" s="13" t="s">
        <v>485</v>
      </c>
      <c r="B144" s="13" t="s">
        <v>482</v>
      </c>
      <c r="C144" s="13" t="s">
        <v>633</v>
      </c>
      <c r="D144" s="14">
        <v>45957</v>
      </c>
      <c r="E144" s="13" t="s">
        <v>729</v>
      </c>
      <c r="F144" s="13" t="s">
        <v>158</v>
      </c>
      <c r="G144" s="15">
        <v>12880</v>
      </c>
    </row>
    <row r="145" spans="1:16" x14ac:dyDescent="0.2">
      <c r="A145" s="13" t="s">
        <v>485</v>
      </c>
      <c r="B145" s="13" t="s">
        <v>482</v>
      </c>
      <c r="C145" s="13" t="s">
        <v>634</v>
      </c>
      <c r="D145" s="14">
        <v>45958</v>
      </c>
      <c r="E145" s="13" t="s">
        <v>729</v>
      </c>
      <c r="F145" s="13" t="s">
        <v>158</v>
      </c>
      <c r="G145" s="15">
        <v>7360</v>
      </c>
    </row>
    <row r="146" spans="1:16" x14ac:dyDescent="0.2">
      <c r="A146" s="13" t="s">
        <v>485</v>
      </c>
      <c r="B146" s="13" t="s">
        <v>482</v>
      </c>
      <c r="C146" s="13" t="s">
        <v>635</v>
      </c>
      <c r="D146" s="14">
        <v>45959</v>
      </c>
      <c r="E146" s="13" t="s">
        <v>729</v>
      </c>
      <c r="F146" s="13" t="s">
        <v>158</v>
      </c>
      <c r="G146" s="15">
        <v>12880</v>
      </c>
    </row>
    <row r="147" spans="1:16" x14ac:dyDescent="0.2">
      <c r="A147" s="13" t="s">
        <v>486</v>
      </c>
      <c r="B147" s="13" t="s">
        <v>482</v>
      </c>
      <c r="C147" s="13" t="s">
        <v>636</v>
      </c>
      <c r="D147" s="14">
        <v>45960</v>
      </c>
      <c r="E147" s="13" t="s">
        <v>729</v>
      </c>
      <c r="F147" s="13" t="s">
        <v>79</v>
      </c>
      <c r="G147" s="15">
        <v>140000</v>
      </c>
      <c r="H147" s="13"/>
      <c r="I147" s="13"/>
      <c r="J147" s="13"/>
      <c r="K147" s="13"/>
      <c r="M147" s="13"/>
      <c r="N147" s="13"/>
    </row>
    <row r="148" spans="1:16" x14ac:dyDescent="0.2">
      <c r="A148" s="13" t="s">
        <v>489</v>
      </c>
      <c r="B148" s="13" t="s">
        <v>481</v>
      </c>
      <c r="C148" s="13" t="s">
        <v>637</v>
      </c>
      <c r="D148" s="14">
        <v>45961</v>
      </c>
      <c r="E148" s="13" t="s">
        <v>388</v>
      </c>
      <c r="F148" s="13" t="s">
        <v>389</v>
      </c>
      <c r="G148" s="51" t="s">
        <v>390</v>
      </c>
      <c r="P148" s="13" t="s">
        <v>391</v>
      </c>
    </row>
    <row r="149" spans="1:16" x14ac:dyDescent="0.2">
      <c r="A149" s="13" t="s">
        <v>479</v>
      </c>
      <c r="B149" s="13" t="s">
        <v>480</v>
      </c>
      <c r="C149" s="13" t="s">
        <v>638</v>
      </c>
      <c r="D149" s="14">
        <v>45933</v>
      </c>
      <c r="E149" s="13" t="s">
        <v>392</v>
      </c>
      <c r="F149" s="13" t="s">
        <v>60</v>
      </c>
      <c r="G149" s="13">
        <v>140</v>
      </c>
      <c r="I149" s="14">
        <v>45579</v>
      </c>
      <c r="L149" s="13" t="s">
        <v>393</v>
      </c>
    </row>
    <row r="150" spans="1:16" x14ac:dyDescent="0.2">
      <c r="A150" s="13" t="s">
        <v>487</v>
      </c>
      <c r="B150" s="13" t="s">
        <v>482</v>
      </c>
      <c r="C150" s="13" t="s">
        <v>639</v>
      </c>
      <c r="D150" s="14">
        <v>45934</v>
      </c>
      <c r="E150" s="13" t="s">
        <v>729</v>
      </c>
      <c r="F150" s="13" t="s">
        <v>394</v>
      </c>
      <c r="G150" s="13">
        <v>25300</v>
      </c>
      <c r="I150" s="14" t="s">
        <v>395</v>
      </c>
    </row>
    <row r="151" spans="1:16" x14ac:dyDescent="0.2">
      <c r="A151" s="13" t="s">
        <v>479</v>
      </c>
      <c r="B151" s="13" t="s">
        <v>480</v>
      </c>
      <c r="C151" s="13" t="s">
        <v>640</v>
      </c>
      <c r="D151" s="14">
        <v>45935</v>
      </c>
      <c r="E151" s="13" t="s">
        <v>396</v>
      </c>
      <c r="F151" s="13" t="s">
        <v>49</v>
      </c>
      <c r="G151" s="13">
        <v>15000</v>
      </c>
      <c r="L151" s="13" t="s">
        <v>397</v>
      </c>
    </row>
    <row r="152" spans="1:16" x14ac:dyDescent="0.2">
      <c r="A152" s="13" t="s">
        <v>479</v>
      </c>
      <c r="B152" s="13" t="s">
        <v>480</v>
      </c>
      <c r="C152" s="13" t="s">
        <v>641</v>
      </c>
      <c r="D152" s="14">
        <v>45936</v>
      </c>
      <c r="E152" s="13" t="s">
        <v>398</v>
      </c>
      <c r="F152" s="13" t="s">
        <v>60</v>
      </c>
      <c r="G152" s="13">
        <v>1575</v>
      </c>
      <c r="I152" s="14" t="s">
        <v>395</v>
      </c>
      <c r="L152" s="13" t="s">
        <v>399</v>
      </c>
    </row>
    <row r="153" spans="1:16" x14ac:dyDescent="0.2">
      <c r="A153" s="13" t="s">
        <v>400</v>
      </c>
      <c r="B153" s="13" t="s">
        <v>480</v>
      </c>
      <c r="C153" s="13" t="s">
        <v>642</v>
      </c>
      <c r="D153" s="14">
        <v>45937</v>
      </c>
      <c r="E153" s="52" t="s">
        <v>401</v>
      </c>
    </row>
    <row r="154" spans="1:16" x14ac:dyDescent="0.2">
      <c r="A154" s="13" t="s">
        <v>400</v>
      </c>
      <c r="B154" s="13" t="s">
        <v>480</v>
      </c>
      <c r="C154" s="13" t="s">
        <v>643</v>
      </c>
      <c r="D154" s="14">
        <v>45938</v>
      </c>
      <c r="E154" s="52" t="s">
        <v>402</v>
      </c>
    </row>
    <row r="155" spans="1:16" x14ac:dyDescent="0.2">
      <c r="A155" s="13" t="s">
        <v>400</v>
      </c>
      <c r="B155" s="13" t="s">
        <v>480</v>
      </c>
      <c r="C155" s="13" t="s">
        <v>644</v>
      </c>
      <c r="D155" s="14">
        <v>45939</v>
      </c>
      <c r="E155" s="53" t="s">
        <v>403</v>
      </c>
    </row>
    <row r="156" spans="1:16" x14ac:dyDescent="0.2">
      <c r="A156" s="13" t="s">
        <v>400</v>
      </c>
      <c r="B156" s="13" t="s">
        <v>480</v>
      </c>
      <c r="C156" s="13" t="s">
        <v>645</v>
      </c>
      <c r="D156" s="14">
        <v>45940</v>
      </c>
      <c r="E156" s="52" t="s">
        <v>404</v>
      </c>
    </row>
    <row r="157" spans="1:16" x14ac:dyDescent="0.2">
      <c r="A157" s="13" t="s">
        <v>400</v>
      </c>
      <c r="B157" s="13" t="s">
        <v>480</v>
      </c>
      <c r="C157" s="13" t="s">
        <v>646</v>
      </c>
      <c r="D157" s="14">
        <v>45941</v>
      </c>
      <c r="E157" s="53" t="s">
        <v>405</v>
      </c>
    </row>
    <row r="158" spans="1:16" x14ac:dyDescent="0.2">
      <c r="A158" s="13" t="s">
        <v>400</v>
      </c>
      <c r="B158" s="13" t="s">
        <v>480</v>
      </c>
      <c r="C158" s="13" t="s">
        <v>647</v>
      </c>
      <c r="D158" s="14">
        <v>45942</v>
      </c>
      <c r="E158" s="52" t="s">
        <v>406</v>
      </c>
    </row>
    <row r="159" spans="1:16" x14ac:dyDescent="0.2">
      <c r="A159" s="13" t="s">
        <v>400</v>
      </c>
      <c r="B159" s="13" t="s">
        <v>480</v>
      </c>
      <c r="C159" s="13" t="s">
        <v>648</v>
      </c>
      <c r="D159" s="14">
        <v>45943</v>
      </c>
      <c r="E159" s="53" t="s">
        <v>407</v>
      </c>
    </row>
    <row r="160" spans="1:16" x14ac:dyDescent="0.2">
      <c r="A160" s="13" t="s">
        <v>400</v>
      </c>
      <c r="B160" s="13" t="s">
        <v>480</v>
      </c>
      <c r="C160" s="13" t="s">
        <v>649</v>
      </c>
      <c r="D160" s="14">
        <v>45944</v>
      </c>
      <c r="E160" s="52" t="s">
        <v>408</v>
      </c>
    </row>
    <row r="161" spans="1:5" x14ac:dyDescent="0.2">
      <c r="A161" s="13" t="s">
        <v>400</v>
      </c>
      <c r="B161" s="13" t="s">
        <v>480</v>
      </c>
      <c r="C161" s="13" t="s">
        <v>650</v>
      </c>
      <c r="D161" s="14">
        <v>45945</v>
      </c>
      <c r="E161" s="53" t="s">
        <v>409</v>
      </c>
    </row>
    <row r="162" spans="1:5" x14ac:dyDescent="0.2">
      <c r="A162" s="13" t="s">
        <v>400</v>
      </c>
      <c r="B162" s="13" t="s">
        <v>480</v>
      </c>
      <c r="C162" s="13" t="s">
        <v>651</v>
      </c>
      <c r="D162" s="14">
        <v>45946</v>
      </c>
      <c r="E162" s="52" t="s">
        <v>410</v>
      </c>
    </row>
    <row r="163" spans="1:5" x14ac:dyDescent="0.2">
      <c r="A163" s="13" t="s">
        <v>400</v>
      </c>
      <c r="B163" s="13" t="s">
        <v>480</v>
      </c>
      <c r="C163" s="13" t="s">
        <v>652</v>
      </c>
      <c r="D163" s="14">
        <v>45947</v>
      </c>
      <c r="E163" s="53" t="s">
        <v>411</v>
      </c>
    </row>
    <row r="164" spans="1:5" x14ac:dyDescent="0.2">
      <c r="A164" s="13" t="s">
        <v>400</v>
      </c>
      <c r="B164" s="13" t="s">
        <v>480</v>
      </c>
      <c r="C164" s="13" t="s">
        <v>653</v>
      </c>
      <c r="D164" s="14">
        <v>45948</v>
      </c>
      <c r="E164" s="52" t="s">
        <v>412</v>
      </c>
    </row>
    <row r="165" spans="1:5" x14ac:dyDescent="0.2">
      <c r="A165" s="13" t="s">
        <v>400</v>
      </c>
      <c r="B165" s="13" t="s">
        <v>480</v>
      </c>
      <c r="C165" s="13" t="s">
        <v>654</v>
      </c>
      <c r="D165" s="14">
        <v>45949</v>
      </c>
      <c r="E165" s="52" t="s">
        <v>413</v>
      </c>
    </row>
    <row r="166" spans="1:5" x14ac:dyDescent="0.2">
      <c r="A166" s="13" t="s">
        <v>400</v>
      </c>
      <c r="B166" s="13" t="s">
        <v>480</v>
      </c>
      <c r="C166" s="13" t="s">
        <v>655</v>
      </c>
      <c r="D166" s="14">
        <v>45950</v>
      </c>
      <c r="E166" s="53" t="s">
        <v>414</v>
      </c>
    </row>
    <row r="167" spans="1:5" x14ac:dyDescent="0.2">
      <c r="A167" s="13" t="s">
        <v>400</v>
      </c>
      <c r="B167" s="13" t="s">
        <v>480</v>
      </c>
      <c r="C167" s="13" t="s">
        <v>656</v>
      </c>
      <c r="D167" s="14">
        <v>45951</v>
      </c>
      <c r="E167" s="52" t="s">
        <v>415</v>
      </c>
    </row>
    <row r="168" spans="1:5" x14ac:dyDescent="0.2">
      <c r="A168" s="13" t="s">
        <v>400</v>
      </c>
      <c r="B168" s="13" t="s">
        <v>480</v>
      </c>
      <c r="C168" s="13" t="s">
        <v>657</v>
      </c>
      <c r="D168" s="14">
        <v>45952</v>
      </c>
      <c r="E168" s="53" t="s">
        <v>416</v>
      </c>
    </row>
    <row r="169" spans="1:5" x14ac:dyDescent="0.2">
      <c r="A169" s="13" t="s">
        <v>400</v>
      </c>
      <c r="B169" s="13" t="s">
        <v>480</v>
      </c>
      <c r="C169" s="13" t="s">
        <v>658</v>
      </c>
      <c r="D169" s="14">
        <v>45953</v>
      </c>
      <c r="E169" s="52" t="s">
        <v>417</v>
      </c>
    </row>
    <row r="170" spans="1:5" x14ac:dyDescent="0.2">
      <c r="A170" s="13" t="s">
        <v>400</v>
      </c>
      <c r="B170" s="13" t="s">
        <v>480</v>
      </c>
      <c r="C170" s="13" t="s">
        <v>659</v>
      </c>
      <c r="D170" s="14">
        <v>45954</v>
      </c>
      <c r="E170" s="53" t="s">
        <v>418</v>
      </c>
    </row>
    <row r="171" spans="1:5" x14ac:dyDescent="0.2">
      <c r="A171" s="13" t="s">
        <v>400</v>
      </c>
      <c r="B171" s="13" t="s">
        <v>480</v>
      </c>
      <c r="C171" s="13" t="s">
        <v>660</v>
      </c>
      <c r="D171" s="14">
        <v>45955</v>
      </c>
      <c r="E171" s="52" t="s">
        <v>419</v>
      </c>
    </row>
    <row r="172" spans="1:5" x14ac:dyDescent="0.2">
      <c r="A172" s="13" t="s">
        <v>400</v>
      </c>
      <c r="B172" s="13" t="s">
        <v>480</v>
      </c>
      <c r="C172" s="13" t="s">
        <v>661</v>
      </c>
      <c r="D172" s="14">
        <v>45956</v>
      </c>
      <c r="E172" s="53" t="s">
        <v>420</v>
      </c>
    </row>
    <row r="173" spans="1:5" x14ac:dyDescent="0.2">
      <c r="A173" s="13" t="s">
        <v>400</v>
      </c>
      <c r="B173" s="13" t="s">
        <v>480</v>
      </c>
      <c r="C173" s="13" t="s">
        <v>662</v>
      </c>
      <c r="D173" s="14">
        <v>45957</v>
      </c>
      <c r="E173" s="52" t="s">
        <v>419</v>
      </c>
    </row>
    <row r="174" spans="1:5" x14ac:dyDescent="0.2">
      <c r="A174" s="13" t="s">
        <v>400</v>
      </c>
      <c r="B174" s="13" t="s">
        <v>480</v>
      </c>
      <c r="C174" s="13" t="s">
        <v>663</v>
      </c>
      <c r="D174" s="14">
        <v>45958</v>
      </c>
      <c r="E174" s="53" t="s">
        <v>419</v>
      </c>
    </row>
    <row r="175" spans="1:5" x14ac:dyDescent="0.2">
      <c r="A175" s="13" t="s">
        <v>400</v>
      </c>
      <c r="B175" s="13" t="s">
        <v>480</v>
      </c>
      <c r="C175" s="13" t="s">
        <v>664</v>
      </c>
      <c r="D175" s="14">
        <v>45959</v>
      </c>
      <c r="E175" s="52" t="s">
        <v>421</v>
      </c>
    </row>
    <row r="176" spans="1:5" x14ac:dyDescent="0.2">
      <c r="A176" s="13" t="s">
        <v>400</v>
      </c>
      <c r="B176" s="13" t="s">
        <v>480</v>
      </c>
      <c r="C176" s="13" t="s">
        <v>665</v>
      </c>
      <c r="D176" s="14">
        <v>45960</v>
      </c>
      <c r="E176" s="53" t="s">
        <v>422</v>
      </c>
    </row>
    <row r="177" spans="1:5" x14ac:dyDescent="0.2">
      <c r="A177" s="13" t="s">
        <v>400</v>
      </c>
      <c r="B177" s="13" t="s">
        <v>480</v>
      </c>
      <c r="C177" s="13" t="s">
        <v>666</v>
      </c>
      <c r="D177" s="14">
        <v>45961</v>
      </c>
      <c r="E177" s="52" t="s">
        <v>423</v>
      </c>
    </row>
    <row r="178" spans="1:5" x14ac:dyDescent="0.2">
      <c r="A178" s="13" t="s">
        <v>400</v>
      </c>
      <c r="B178" s="13" t="s">
        <v>480</v>
      </c>
      <c r="C178" s="13" t="s">
        <v>667</v>
      </c>
      <c r="D178" s="14">
        <v>45933</v>
      </c>
      <c r="E178" s="53" t="s">
        <v>424</v>
      </c>
    </row>
    <row r="179" spans="1:5" x14ac:dyDescent="0.2">
      <c r="A179" s="13" t="s">
        <v>400</v>
      </c>
      <c r="B179" s="13" t="s">
        <v>480</v>
      </c>
      <c r="C179" s="13" t="s">
        <v>668</v>
      </c>
      <c r="D179" s="14">
        <v>45934</v>
      </c>
      <c r="E179" s="52" t="s">
        <v>425</v>
      </c>
    </row>
    <row r="180" spans="1:5" x14ac:dyDescent="0.2">
      <c r="A180" s="13" t="s">
        <v>400</v>
      </c>
      <c r="B180" s="13" t="s">
        <v>480</v>
      </c>
      <c r="C180" s="13" t="s">
        <v>669</v>
      </c>
      <c r="D180" s="14">
        <v>45935</v>
      </c>
      <c r="E180" s="53" t="s">
        <v>426</v>
      </c>
    </row>
    <row r="181" spans="1:5" x14ac:dyDescent="0.2">
      <c r="A181" s="13" t="s">
        <v>400</v>
      </c>
      <c r="B181" s="13" t="s">
        <v>480</v>
      </c>
      <c r="C181" s="13" t="s">
        <v>670</v>
      </c>
      <c r="D181" s="14">
        <v>45936</v>
      </c>
      <c r="E181" s="52" t="s">
        <v>427</v>
      </c>
    </row>
    <row r="182" spans="1:5" x14ac:dyDescent="0.2">
      <c r="A182" s="13" t="s">
        <v>400</v>
      </c>
      <c r="B182" s="13" t="s">
        <v>480</v>
      </c>
      <c r="C182" s="13" t="s">
        <v>671</v>
      </c>
      <c r="D182" s="14">
        <v>45937</v>
      </c>
      <c r="E182" s="53" t="s">
        <v>428</v>
      </c>
    </row>
    <row r="183" spans="1:5" x14ac:dyDescent="0.2">
      <c r="A183" s="13" t="s">
        <v>400</v>
      </c>
      <c r="B183" s="13" t="s">
        <v>480</v>
      </c>
      <c r="C183" s="13" t="s">
        <v>672</v>
      </c>
      <c r="D183" s="14">
        <v>45938</v>
      </c>
      <c r="E183" s="52" t="s">
        <v>429</v>
      </c>
    </row>
    <row r="184" spans="1:5" x14ac:dyDescent="0.2">
      <c r="A184" s="13" t="s">
        <v>400</v>
      </c>
      <c r="B184" s="13" t="s">
        <v>480</v>
      </c>
      <c r="C184" s="13" t="s">
        <v>673</v>
      </c>
      <c r="D184" s="14">
        <v>45939</v>
      </c>
      <c r="E184" s="52" t="s">
        <v>430</v>
      </c>
    </row>
    <row r="185" spans="1:5" x14ac:dyDescent="0.2">
      <c r="A185" s="13" t="s">
        <v>400</v>
      </c>
      <c r="B185" s="13" t="s">
        <v>480</v>
      </c>
      <c r="C185" s="13" t="s">
        <v>674</v>
      </c>
      <c r="D185" s="14">
        <v>45940</v>
      </c>
      <c r="E185" s="53" t="s">
        <v>431</v>
      </c>
    </row>
    <row r="186" spans="1:5" x14ac:dyDescent="0.2">
      <c r="A186" s="13" t="s">
        <v>400</v>
      </c>
      <c r="B186" s="13" t="s">
        <v>480</v>
      </c>
      <c r="C186" s="13" t="s">
        <v>675</v>
      </c>
      <c r="D186" s="14">
        <v>45941</v>
      </c>
      <c r="E186" s="52" t="s">
        <v>432</v>
      </c>
    </row>
    <row r="187" spans="1:5" x14ac:dyDescent="0.2">
      <c r="A187" s="13" t="s">
        <v>400</v>
      </c>
      <c r="B187" s="13" t="s">
        <v>480</v>
      </c>
      <c r="C187" s="13" t="s">
        <v>676</v>
      </c>
      <c r="D187" s="14">
        <v>45942</v>
      </c>
      <c r="E187" s="53" t="s">
        <v>433</v>
      </c>
    </row>
    <row r="188" spans="1:5" x14ac:dyDescent="0.2">
      <c r="A188" s="13" t="s">
        <v>400</v>
      </c>
      <c r="B188" s="13" t="s">
        <v>480</v>
      </c>
      <c r="C188" s="13" t="s">
        <v>677</v>
      </c>
      <c r="D188" s="14">
        <v>45943</v>
      </c>
      <c r="E188" s="52" t="s">
        <v>434</v>
      </c>
    </row>
    <row r="189" spans="1:5" x14ac:dyDescent="0.2">
      <c r="A189" s="13" t="s">
        <v>400</v>
      </c>
      <c r="B189" s="13" t="s">
        <v>480</v>
      </c>
      <c r="C189" s="13" t="s">
        <v>678</v>
      </c>
      <c r="D189" s="14">
        <v>45944</v>
      </c>
      <c r="E189" s="53" t="s">
        <v>435</v>
      </c>
    </row>
    <row r="190" spans="1:5" x14ac:dyDescent="0.2">
      <c r="A190" s="13" t="s">
        <v>400</v>
      </c>
      <c r="B190" s="13" t="s">
        <v>480</v>
      </c>
      <c r="C190" s="13" t="s">
        <v>679</v>
      </c>
      <c r="D190" s="14">
        <v>45945</v>
      </c>
      <c r="E190" s="52" t="s">
        <v>435</v>
      </c>
    </row>
    <row r="191" spans="1:5" x14ac:dyDescent="0.2">
      <c r="A191" s="13" t="s">
        <v>400</v>
      </c>
      <c r="B191" s="13" t="s">
        <v>480</v>
      </c>
      <c r="C191" s="13" t="s">
        <v>680</v>
      </c>
      <c r="D191" s="14">
        <v>45946</v>
      </c>
      <c r="E191" s="53" t="s">
        <v>436</v>
      </c>
    </row>
    <row r="192" spans="1:5" x14ac:dyDescent="0.2">
      <c r="A192" s="13" t="s">
        <v>400</v>
      </c>
      <c r="B192" s="13" t="s">
        <v>480</v>
      </c>
      <c r="C192" s="13" t="s">
        <v>681</v>
      </c>
      <c r="D192" s="14">
        <v>45947</v>
      </c>
      <c r="E192" s="53" t="s">
        <v>437</v>
      </c>
    </row>
    <row r="193" spans="1:5" x14ac:dyDescent="0.2">
      <c r="A193" s="13" t="s">
        <v>400</v>
      </c>
      <c r="B193" s="13" t="s">
        <v>480</v>
      </c>
      <c r="C193" s="13" t="s">
        <v>682</v>
      </c>
      <c r="D193" s="14">
        <v>45948</v>
      </c>
      <c r="E193" s="52" t="s">
        <v>438</v>
      </c>
    </row>
    <row r="194" spans="1:5" x14ac:dyDescent="0.2">
      <c r="A194" s="13" t="s">
        <v>400</v>
      </c>
      <c r="B194" s="13" t="s">
        <v>480</v>
      </c>
      <c r="C194" s="13" t="s">
        <v>683</v>
      </c>
      <c r="D194" s="14">
        <v>45949</v>
      </c>
      <c r="E194" s="53" t="s">
        <v>439</v>
      </c>
    </row>
    <row r="195" spans="1:5" x14ac:dyDescent="0.2">
      <c r="A195" s="13" t="s">
        <v>400</v>
      </c>
      <c r="B195" s="13" t="s">
        <v>480</v>
      </c>
      <c r="C195" s="13" t="s">
        <v>684</v>
      </c>
      <c r="D195" s="14">
        <v>45950</v>
      </c>
      <c r="E195" s="52" t="s">
        <v>440</v>
      </c>
    </row>
    <row r="196" spans="1:5" x14ac:dyDescent="0.2">
      <c r="A196" s="13" t="s">
        <v>400</v>
      </c>
      <c r="B196" s="13" t="s">
        <v>480</v>
      </c>
      <c r="C196" s="13" t="s">
        <v>685</v>
      </c>
      <c r="D196" s="14">
        <v>45951</v>
      </c>
      <c r="E196" s="53" t="s">
        <v>441</v>
      </c>
    </row>
    <row r="197" spans="1:5" x14ac:dyDescent="0.2">
      <c r="A197" s="13" t="s">
        <v>400</v>
      </c>
      <c r="B197" s="13" t="s">
        <v>480</v>
      </c>
      <c r="C197" s="13" t="s">
        <v>686</v>
      </c>
      <c r="D197" s="14">
        <v>45952</v>
      </c>
      <c r="E197" s="52" t="s">
        <v>442</v>
      </c>
    </row>
    <row r="198" spans="1:5" x14ac:dyDescent="0.2">
      <c r="A198" s="13" t="s">
        <v>400</v>
      </c>
      <c r="B198" s="13" t="s">
        <v>480</v>
      </c>
      <c r="C198" s="13" t="s">
        <v>687</v>
      </c>
      <c r="D198" s="14">
        <v>45953</v>
      </c>
      <c r="E198" s="53" t="s">
        <v>443</v>
      </c>
    </row>
    <row r="199" spans="1:5" x14ac:dyDescent="0.2">
      <c r="A199" s="13" t="s">
        <v>400</v>
      </c>
      <c r="B199" s="13" t="s">
        <v>480</v>
      </c>
      <c r="C199" s="13" t="s">
        <v>688</v>
      </c>
      <c r="D199" s="14">
        <v>45954</v>
      </c>
      <c r="E199" s="52" t="s">
        <v>444</v>
      </c>
    </row>
    <row r="200" spans="1:5" x14ac:dyDescent="0.2">
      <c r="A200" s="13" t="s">
        <v>400</v>
      </c>
      <c r="B200" s="13" t="s">
        <v>480</v>
      </c>
      <c r="C200" s="13" t="s">
        <v>689</v>
      </c>
      <c r="D200" s="14">
        <v>45955</v>
      </c>
      <c r="E200" s="53" t="s">
        <v>445</v>
      </c>
    </row>
    <row r="201" spans="1:5" x14ac:dyDescent="0.2">
      <c r="A201" s="13" t="s">
        <v>400</v>
      </c>
      <c r="B201" s="13" t="s">
        <v>480</v>
      </c>
      <c r="C201" s="13" t="s">
        <v>690</v>
      </c>
      <c r="D201" s="14">
        <v>45956</v>
      </c>
      <c r="E201" s="52" t="s">
        <v>446</v>
      </c>
    </row>
    <row r="202" spans="1:5" x14ac:dyDescent="0.2">
      <c r="A202" s="13" t="s">
        <v>400</v>
      </c>
      <c r="B202" s="13" t="s">
        <v>480</v>
      </c>
      <c r="C202" s="13" t="s">
        <v>691</v>
      </c>
      <c r="D202" s="14">
        <v>45957</v>
      </c>
      <c r="E202" s="53" t="s">
        <v>447</v>
      </c>
    </row>
    <row r="203" spans="1:5" x14ac:dyDescent="0.2">
      <c r="A203" s="13" t="s">
        <v>400</v>
      </c>
      <c r="B203" s="13" t="s">
        <v>480</v>
      </c>
      <c r="C203" s="13" t="s">
        <v>692</v>
      </c>
      <c r="D203" s="14">
        <v>45958</v>
      </c>
      <c r="E203" s="52" t="s">
        <v>448</v>
      </c>
    </row>
    <row r="204" spans="1:5" x14ac:dyDescent="0.2">
      <c r="A204" s="13" t="s">
        <v>400</v>
      </c>
      <c r="B204" s="13" t="s">
        <v>480</v>
      </c>
      <c r="C204" s="13" t="s">
        <v>693</v>
      </c>
      <c r="D204" s="14">
        <v>45959</v>
      </c>
      <c r="E204" s="52" t="s">
        <v>449</v>
      </c>
    </row>
    <row r="205" spans="1:5" x14ac:dyDescent="0.2">
      <c r="A205" s="13" t="s">
        <v>400</v>
      </c>
      <c r="B205" s="13" t="s">
        <v>480</v>
      </c>
      <c r="C205" s="13" t="s">
        <v>694</v>
      </c>
      <c r="D205" s="14">
        <v>45960</v>
      </c>
      <c r="E205" s="53" t="s">
        <v>450</v>
      </c>
    </row>
    <row r="206" spans="1:5" x14ac:dyDescent="0.2">
      <c r="A206" s="13" t="s">
        <v>400</v>
      </c>
      <c r="B206" s="13" t="s">
        <v>480</v>
      </c>
      <c r="C206" s="13" t="s">
        <v>695</v>
      </c>
      <c r="D206" s="14">
        <v>45961</v>
      </c>
      <c r="E206" s="52" t="s">
        <v>451</v>
      </c>
    </row>
    <row r="207" spans="1:5" x14ac:dyDescent="0.2">
      <c r="A207" s="13" t="s">
        <v>400</v>
      </c>
      <c r="B207" s="13" t="s">
        <v>480</v>
      </c>
      <c r="C207" s="13" t="s">
        <v>696</v>
      </c>
      <c r="D207" s="14">
        <v>45933</v>
      </c>
      <c r="E207" s="52" t="s">
        <v>452</v>
      </c>
    </row>
    <row r="208" spans="1:5" x14ac:dyDescent="0.2">
      <c r="A208" s="13" t="s">
        <v>400</v>
      </c>
      <c r="B208" s="13" t="s">
        <v>480</v>
      </c>
      <c r="C208" s="13" t="s">
        <v>697</v>
      </c>
      <c r="D208" s="14">
        <v>45934</v>
      </c>
      <c r="E208" s="53" t="s">
        <v>452</v>
      </c>
    </row>
    <row r="209" spans="1:5" x14ac:dyDescent="0.2">
      <c r="A209" s="13" t="s">
        <v>400</v>
      </c>
      <c r="B209" s="13" t="s">
        <v>480</v>
      </c>
      <c r="C209" s="13" t="s">
        <v>698</v>
      </c>
      <c r="D209" s="14">
        <v>45935</v>
      </c>
      <c r="E209" s="52" t="s">
        <v>453</v>
      </c>
    </row>
    <row r="210" spans="1:5" x14ac:dyDescent="0.2">
      <c r="A210" s="13" t="s">
        <v>400</v>
      </c>
      <c r="B210" s="13" t="s">
        <v>480</v>
      </c>
      <c r="C210" s="13" t="s">
        <v>699</v>
      </c>
      <c r="D210" s="14">
        <v>45936</v>
      </c>
      <c r="E210" s="53" t="s">
        <v>454</v>
      </c>
    </row>
    <row r="211" spans="1:5" x14ac:dyDescent="0.2">
      <c r="A211" s="13" t="s">
        <v>400</v>
      </c>
      <c r="B211" s="13" t="s">
        <v>480</v>
      </c>
      <c r="C211" s="13" t="s">
        <v>700</v>
      </c>
      <c r="D211" s="14">
        <v>45937</v>
      </c>
      <c r="E211" s="52" t="s">
        <v>455</v>
      </c>
    </row>
    <row r="212" spans="1:5" x14ac:dyDescent="0.2">
      <c r="A212" s="13" t="s">
        <v>400</v>
      </c>
      <c r="B212" s="13" t="s">
        <v>480</v>
      </c>
      <c r="C212" s="13" t="s">
        <v>701</v>
      </c>
      <c r="D212" s="14">
        <v>45938</v>
      </c>
      <c r="E212" s="52" t="s">
        <v>456</v>
      </c>
    </row>
    <row r="213" spans="1:5" x14ac:dyDescent="0.2">
      <c r="A213" s="13" t="s">
        <v>400</v>
      </c>
      <c r="B213" s="13" t="s">
        <v>480</v>
      </c>
      <c r="C213" s="13" t="s">
        <v>702</v>
      </c>
      <c r="D213" s="14">
        <v>45939</v>
      </c>
      <c r="E213" s="52" t="s">
        <v>457</v>
      </c>
    </row>
    <row r="214" spans="1:5" x14ac:dyDescent="0.2">
      <c r="A214" s="13" t="s">
        <v>400</v>
      </c>
      <c r="B214" s="13" t="s">
        <v>480</v>
      </c>
      <c r="C214" s="13" t="s">
        <v>703</v>
      </c>
      <c r="D214" s="14">
        <v>45940</v>
      </c>
      <c r="E214" s="53" t="s">
        <v>458</v>
      </c>
    </row>
    <row r="215" spans="1:5" x14ac:dyDescent="0.2">
      <c r="A215" s="13" t="s">
        <v>400</v>
      </c>
      <c r="B215" s="13" t="s">
        <v>480</v>
      </c>
      <c r="C215" s="13" t="s">
        <v>704</v>
      </c>
      <c r="D215" s="14">
        <v>45941</v>
      </c>
      <c r="E215" s="52" t="s">
        <v>459</v>
      </c>
    </row>
    <row r="216" spans="1:5" x14ac:dyDescent="0.2">
      <c r="A216" s="13" t="s">
        <v>400</v>
      </c>
      <c r="B216" s="13" t="s">
        <v>480</v>
      </c>
      <c r="C216" s="13" t="s">
        <v>705</v>
      </c>
      <c r="D216" s="14">
        <v>45942</v>
      </c>
      <c r="E216" s="53" t="s">
        <v>460</v>
      </c>
    </row>
    <row r="217" spans="1:5" x14ac:dyDescent="0.2">
      <c r="A217" s="13" t="s">
        <v>400</v>
      </c>
      <c r="B217" s="13" t="s">
        <v>480</v>
      </c>
      <c r="C217" s="13" t="s">
        <v>706</v>
      </c>
      <c r="D217" s="14">
        <v>45943</v>
      </c>
      <c r="E217" s="52" t="s">
        <v>461</v>
      </c>
    </row>
    <row r="218" spans="1:5" x14ac:dyDescent="0.2">
      <c r="A218" s="13" t="s">
        <v>400</v>
      </c>
      <c r="B218" s="13" t="s">
        <v>480</v>
      </c>
      <c r="C218" s="13" t="s">
        <v>707</v>
      </c>
      <c r="D218" s="14">
        <v>45944</v>
      </c>
      <c r="E218" s="52" t="s">
        <v>411</v>
      </c>
    </row>
    <row r="219" spans="1:5" x14ac:dyDescent="0.2">
      <c r="A219" s="13" t="s">
        <v>400</v>
      </c>
      <c r="B219" s="13" t="s">
        <v>480</v>
      </c>
      <c r="C219" s="13" t="s">
        <v>708</v>
      </c>
      <c r="D219" s="14">
        <v>45945</v>
      </c>
      <c r="E219" s="53" t="s">
        <v>462</v>
      </c>
    </row>
    <row r="220" spans="1:5" x14ac:dyDescent="0.2">
      <c r="A220" s="13" t="s">
        <v>400</v>
      </c>
      <c r="B220" s="13" t="s">
        <v>480</v>
      </c>
      <c r="C220" s="13" t="s">
        <v>709</v>
      </c>
      <c r="D220" s="14">
        <v>45946</v>
      </c>
      <c r="E220" s="52" t="s">
        <v>463</v>
      </c>
    </row>
    <row r="221" spans="1:5" x14ac:dyDescent="0.2">
      <c r="A221" s="13" t="s">
        <v>400</v>
      </c>
      <c r="B221" s="13" t="s">
        <v>480</v>
      </c>
      <c r="C221" s="13" t="s">
        <v>710</v>
      </c>
      <c r="D221" s="14">
        <v>45947</v>
      </c>
      <c r="E221" s="52" t="s">
        <v>464</v>
      </c>
    </row>
    <row r="222" spans="1:5" x14ac:dyDescent="0.2">
      <c r="A222" s="13" t="s">
        <v>400</v>
      </c>
      <c r="B222" s="13" t="s">
        <v>480</v>
      </c>
      <c r="C222" s="13" t="s">
        <v>711</v>
      </c>
      <c r="D222" s="14">
        <v>45948</v>
      </c>
      <c r="E222" s="53" t="s">
        <v>465</v>
      </c>
    </row>
    <row r="223" spans="1:5" x14ac:dyDescent="0.2">
      <c r="A223" s="13" t="s">
        <v>400</v>
      </c>
      <c r="B223" s="13" t="s">
        <v>480</v>
      </c>
      <c r="C223" s="13" t="s">
        <v>712</v>
      </c>
      <c r="D223" s="14">
        <v>45949</v>
      </c>
      <c r="E223" s="52" t="s">
        <v>466</v>
      </c>
    </row>
    <row r="224" spans="1:5" x14ac:dyDescent="0.2">
      <c r="A224" s="13" t="s">
        <v>400</v>
      </c>
      <c r="B224" s="13" t="s">
        <v>480</v>
      </c>
      <c r="C224" s="13" t="s">
        <v>713</v>
      </c>
      <c r="D224" s="14">
        <v>45950</v>
      </c>
      <c r="E224" s="53" t="s">
        <v>467</v>
      </c>
    </row>
    <row r="225" spans="1:5" x14ac:dyDescent="0.2">
      <c r="A225" s="13" t="s">
        <v>400</v>
      </c>
      <c r="B225" s="13" t="s">
        <v>480</v>
      </c>
      <c r="C225" s="13" t="s">
        <v>714</v>
      </c>
      <c r="D225" s="14">
        <v>45951</v>
      </c>
      <c r="E225" s="52" t="s">
        <v>468</v>
      </c>
    </row>
    <row r="226" spans="1:5" x14ac:dyDescent="0.2">
      <c r="A226" s="13" t="s">
        <v>400</v>
      </c>
      <c r="B226" s="13" t="s">
        <v>480</v>
      </c>
      <c r="C226" s="13" t="s">
        <v>715</v>
      </c>
      <c r="D226" s="14">
        <v>45952</v>
      </c>
      <c r="E226" s="53" t="s">
        <v>469</v>
      </c>
    </row>
    <row r="227" spans="1:5" x14ac:dyDescent="0.2">
      <c r="A227" s="13" t="s">
        <v>400</v>
      </c>
      <c r="B227" s="13" t="s">
        <v>480</v>
      </c>
      <c r="C227" s="13" t="s">
        <v>716</v>
      </c>
      <c r="D227" s="14">
        <v>45953</v>
      </c>
      <c r="E227" s="52" t="s">
        <v>470</v>
      </c>
    </row>
    <row r="228" spans="1:5" x14ac:dyDescent="0.2">
      <c r="A228" s="13" t="s">
        <v>400</v>
      </c>
      <c r="B228" s="13" t="s">
        <v>480</v>
      </c>
      <c r="C228" s="13" t="s">
        <v>717</v>
      </c>
      <c r="D228" s="14">
        <v>45954</v>
      </c>
      <c r="E228" s="53" t="s">
        <v>471</v>
      </c>
    </row>
    <row r="229" spans="1:5" x14ac:dyDescent="0.2">
      <c r="A229" s="13" t="s">
        <v>400</v>
      </c>
      <c r="B229" s="13" t="s">
        <v>480</v>
      </c>
      <c r="C229" s="13" t="s">
        <v>718</v>
      </c>
      <c r="D229" s="14">
        <v>45955</v>
      </c>
      <c r="E229" s="52" t="s">
        <v>472</v>
      </c>
    </row>
    <row r="230" spans="1:5" x14ac:dyDescent="0.2">
      <c r="A230" s="13" t="s">
        <v>489</v>
      </c>
      <c r="B230" s="13" t="s">
        <v>481</v>
      </c>
      <c r="C230" s="13" t="s">
        <v>719</v>
      </c>
      <c r="D230" s="14">
        <v>45956</v>
      </c>
      <c r="E230" s="52" t="s">
        <v>473</v>
      </c>
    </row>
    <row r="231" spans="1:5" x14ac:dyDescent="0.2">
      <c r="A231" s="13" t="s">
        <v>489</v>
      </c>
      <c r="B231" s="13" t="s">
        <v>481</v>
      </c>
      <c r="C231" s="13" t="s">
        <v>720</v>
      </c>
      <c r="D231" s="14">
        <v>45957</v>
      </c>
      <c r="E231" s="52" t="s">
        <v>474</v>
      </c>
    </row>
    <row r="232" spans="1:5" x14ac:dyDescent="0.2">
      <c r="A232" s="13" t="s">
        <v>489</v>
      </c>
      <c r="B232" s="13" t="s">
        <v>481</v>
      </c>
      <c r="C232" s="13" t="s">
        <v>721</v>
      </c>
      <c r="D232" s="14">
        <v>45958</v>
      </c>
      <c r="E232" s="53" t="s">
        <v>475</v>
      </c>
    </row>
    <row r="233" spans="1:5" x14ac:dyDescent="0.2">
      <c r="A233" s="13" t="s">
        <v>489</v>
      </c>
      <c r="B233" s="13" t="s">
        <v>481</v>
      </c>
      <c r="C233" s="13" t="s">
        <v>722</v>
      </c>
      <c r="D233" s="14">
        <v>45959</v>
      </c>
      <c r="E233" s="52" t="s">
        <v>476</v>
      </c>
    </row>
    <row r="234" spans="1:5" x14ac:dyDescent="0.2">
      <c r="A234" s="13" t="s">
        <v>489</v>
      </c>
      <c r="B234" s="13" t="s">
        <v>481</v>
      </c>
      <c r="C234" s="13" t="s">
        <v>723</v>
      </c>
      <c r="D234" s="14">
        <v>45960</v>
      </c>
      <c r="E234" s="53" t="s">
        <v>477</v>
      </c>
    </row>
    <row r="235" spans="1:5" x14ac:dyDescent="0.2">
      <c r="A235" s="13" t="s">
        <v>489</v>
      </c>
      <c r="B235" s="13" t="s">
        <v>481</v>
      </c>
      <c r="C235" s="13" t="s">
        <v>724</v>
      </c>
      <c r="D235" s="14">
        <v>45961</v>
      </c>
      <c r="E235" s="52" t="s">
        <v>478</v>
      </c>
    </row>
  </sheetData>
  <autoFilter ref="A1:R235" xr:uid="{B8C10B32-E034-4541-B882-32FF391CF97D}"/>
  <phoneticPr fontId="13" type="noConversion"/>
  <conditionalFormatting sqref="C1:C1048576">
    <cfRule type="duplicateValues" dxfId="28" priority="12"/>
    <cfRule type="duplicateValues" dxfId="27" priority="14"/>
  </conditionalFormatting>
  <conditionalFormatting sqref="C1:D1048576">
    <cfRule type="containsBlanks" dxfId="26" priority="1">
      <formula>LEN(TRIM(C1))=0</formula>
    </cfRule>
  </conditionalFormatting>
  <conditionalFormatting sqref="E230:E235 E153:E203">
    <cfRule type="duplicateValues" dxfId="25" priority="3"/>
  </conditionalFormatting>
  <conditionalFormatting sqref="E236:E1048576 E1:E152">
    <cfRule type="duplicateValues" dxfId="24" priority="13"/>
  </conditionalFormatting>
  <conditionalFormatting sqref="G1:G125 G130:G133 G140:G1048576">
    <cfRule type="containsBlanks" dxfId="23" priority="8">
      <formula>LEN(TRIM(G1))=0</formula>
    </cfRule>
  </conditionalFormatting>
  <conditionalFormatting sqref="L116:L125 L1:L70 L72:L114 L130:L133 L140:L146 L148:L1048576">
    <cfRule type="duplicateValues" dxfId="22" priority="11"/>
  </conditionalFormatting>
  <conditionalFormatting sqref="O1:P1048410">
    <cfRule type="containsText" dxfId="21" priority="9" operator="containsText" text="Under Process">
      <formula>NOT(ISERROR(SEARCH("Under Process",O1)))</formula>
    </cfRule>
    <cfRule type="containsText" dxfId="20" priority="10" operator="containsText" text="Closed">
      <formula>NOT(ISERROR(SEARCH("Closed",O1)))</formula>
    </cfRule>
  </conditionalFormatting>
  <dataValidations count="3">
    <dataValidation type="list" allowBlank="1" showInputMessage="1" showErrorMessage="1" sqref="R1:R9" xr:uid="{41E73B9A-75C7-4064-8140-058F2A9304FE}">
      <formula1>"نعم, لا"</formula1>
    </dataValidation>
    <dataValidation type="list" allowBlank="1" showInputMessage="1" showErrorMessage="1" sqref="O91 O122 O101 O103:O106 O125:O129 O134:O139 O1:O31 O86 O33:O84" xr:uid="{9F2FDE93-59FE-418A-B1E8-77FBB26E039F}">
      <formula1>"Closed , Under Process"</formula1>
    </dataValidation>
    <dataValidation type="list" allowBlank="1" showInputMessage="1" showErrorMessage="1" sqref="L7 B1:B235" xr:uid="{D9222D40-22EE-464E-B773-B0E551B2338A}">
      <formula1>"General, IT, Equipment "</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F26B9-1740-434F-9860-E41E51D874D3}">
  <sheetPr>
    <tabColor theme="8"/>
  </sheetPr>
  <dimension ref="A3:F5"/>
  <sheetViews>
    <sheetView workbookViewId="0">
      <selection activeCell="I3" sqref="F3:I11"/>
    </sheetView>
  </sheetViews>
  <sheetFormatPr defaultRowHeight="15" x14ac:dyDescent="0.2"/>
  <cols>
    <col min="1" max="1" width="19.7734375" bestFit="1" customWidth="1"/>
    <col min="2" max="2" width="16.8125" bestFit="1" customWidth="1"/>
    <col min="3" max="4" width="11.43359375" bestFit="1" customWidth="1"/>
    <col min="5" max="5" width="7.26171875" bestFit="1" customWidth="1"/>
    <col min="6" max="6" width="12.375" bestFit="1" customWidth="1"/>
  </cols>
  <sheetData>
    <row r="3" spans="1:6" x14ac:dyDescent="0.2">
      <c r="B3" s="73" t="s">
        <v>1009</v>
      </c>
    </row>
    <row r="4" spans="1:6" x14ac:dyDescent="0.2">
      <c r="B4" t="s">
        <v>749</v>
      </c>
      <c r="C4" t="s">
        <v>480</v>
      </c>
      <c r="D4" t="s">
        <v>481</v>
      </c>
      <c r="E4" t="s">
        <v>1016</v>
      </c>
      <c r="F4" t="s">
        <v>1008</v>
      </c>
    </row>
    <row r="5" spans="1:6" x14ac:dyDescent="0.2">
      <c r="A5" t="s">
        <v>1011</v>
      </c>
      <c r="B5" s="102">
        <v>2004426.7899999998</v>
      </c>
      <c r="C5" s="102">
        <v>9808746.3600000013</v>
      </c>
      <c r="D5" s="102">
        <v>1528041.02</v>
      </c>
      <c r="E5" s="102"/>
      <c r="F5" s="102">
        <v>13341214.17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1DB82-DA89-4557-8CF1-115CA8016DD2}">
  <sheetPr>
    <tabColor theme="8"/>
  </sheetPr>
  <dimension ref="A3:F5"/>
  <sheetViews>
    <sheetView workbookViewId="0">
      <selection activeCell="N17" sqref="N17"/>
    </sheetView>
  </sheetViews>
  <sheetFormatPr defaultRowHeight="15" x14ac:dyDescent="0.2"/>
  <cols>
    <col min="1" max="1" width="13.31640625" bestFit="1" customWidth="1"/>
    <col min="2" max="2" width="16.8125" bestFit="1" customWidth="1"/>
    <col min="3" max="3" width="8.203125" bestFit="1" customWidth="1"/>
    <col min="4" max="4" width="2.95703125" bestFit="1" customWidth="1"/>
    <col min="5" max="5" width="7.26171875" bestFit="1" customWidth="1"/>
    <col min="6" max="6" width="11.296875" bestFit="1" customWidth="1"/>
  </cols>
  <sheetData>
    <row r="3" spans="1:6" x14ac:dyDescent="0.2">
      <c r="B3" s="73" t="s">
        <v>1009</v>
      </c>
    </row>
    <row r="4" spans="1:6" x14ac:dyDescent="0.2">
      <c r="B4" t="s">
        <v>749</v>
      </c>
      <c r="C4" t="s">
        <v>480</v>
      </c>
      <c r="D4" t="s">
        <v>481</v>
      </c>
      <c r="E4" t="s">
        <v>1016</v>
      </c>
      <c r="F4" t="s">
        <v>1008</v>
      </c>
    </row>
    <row r="5" spans="1:6" x14ac:dyDescent="0.2">
      <c r="A5" t="s">
        <v>1017</v>
      </c>
      <c r="B5" s="102">
        <v>40</v>
      </c>
      <c r="C5" s="102">
        <v>177</v>
      </c>
      <c r="D5" s="102">
        <v>16</v>
      </c>
      <c r="E5" s="102"/>
      <c r="F5" s="102">
        <v>233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9925E-698F-47E5-838D-0003FEFB03C4}">
  <sheetPr>
    <tabColor theme="8"/>
  </sheetPr>
  <dimension ref="A3:B6"/>
  <sheetViews>
    <sheetView workbookViewId="0">
      <selection activeCell="L5" sqref="L5"/>
    </sheetView>
  </sheetViews>
  <sheetFormatPr defaultRowHeight="15" x14ac:dyDescent="0.2"/>
  <cols>
    <col min="1" max="1" width="13.85546875" bestFit="1" customWidth="1"/>
    <col min="2" max="2" width="15.19921875" bestFit="1" customWidth="1"/>
    <col min="3" max="3" width="16.8125" bestFit="1" customWidth="1"/>
    <col min="4" max="4" width="11.296875" bestFit="1" customWidth="1"/>
    <col min="5" max="234" width="8.203125" bestFit="1" customWidth="1"/>
    <col min="235" max="235" width="7.26171875" bestFit="1" customWidth="1"/>
    <col min="236" max="236" width="11.296875" bestFit="1" customWidth="1"/>
  </cols>
  <sheetData>
    <row r="3" spans="1:2" x14ac:dyDescent="0.2">
      <c r="A3" s="73" t="s">
        <v>1015</v>
      </c>
      <c r="B3" t="s">
        <v>1018</v>
      </c>
    </row>
    <row r="4" spans="1:2" x14ac:dyDescent="0.2">
      <c r="A4" s="101" t="s">
        <v>24</v>
      </c>
      <c r="B4" s="102">
        <v>94</v>
      </c>
    </row>
    <row r="5" spans="1:2" x14ac:dyDescent="0.2">
      <c r="A5" s="101" t="s">
        <v>51</v>
      </c>
      <c r="B5" s="102">
        <v>139</v>
      </c>
    </row>
    <row r="6" spans="1:2" x14ac:dyDescent="0.2">
      <c r="A6" s="101" t="s">
        <v>1008</v>
      </c>
      <c r="B6" s="102">
        <v>233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1FD4F-E079-4283-841D-E72F773CE448}">
  <sheetPr>
    <tabColor theme="8"/>
  </sheetPr>
  <dimension ref="A3:K13"/>
  <sheetViews>
    <sheetView workbookViewId="0">
      <selection activeCell="J2" sqref="J2"/>
    </sheetView>
  </sheetViews>
  <sheetFormatPr defaultRowHeight="15" x14ac:dyDescent="0.2"/>
  <cols>
    <col min="1" max="1" width="25.01953125" bestFit="1" customWidth="1"/>
    <col min="2" max="2" width="13.31640625" bestFit="1" customWidth="1"/>
    <col min="10" max="10" width="25.01953125" bestFit="1" customWidth="1"/>
  </cols>
  <sheetData>
    <row r="3" spans="1:11" x14ac:dyDescent="0.2">
      <c r="A3" s="73" t="s">
        <v>1015</v>
      </c>
      <c r="B3" t="s">
        <v>1017</v>
      </c>
      <c r="J3" t="s">
        <v>1015</v>
      </c>
      <c r="K3" t="s">
        <v>1017</v>
      </c>
    </row>
    <row r="4" spans="1:11" x14ac:dyDescent="0.2">
      <c r="A4" s="101" t="s">
        <v>768</v>
      </c>
      <c r="B4" s="102">
        <v>7</v>
      </c>
      <c r="J4" t="s">
        <v>768</v>
      </c>
      <c r="K4">
        <v>7</v>
      </c>
    </row>
    <row r="5" spans="1:11" x14ac:dyDescent="0.2">
      <c r="A5" s="101" t="s">
        <v>728</v>
      </c>
      <c r="B5" s="102">
        <v>21</v>
      </c>
      <c r="J5" t="s">
        <v>728</v>
      </c>
      <c r="K5">
        <v>21</v>
      </c>
    </row>
    <row r="6" spans="1:11" x14ac:dyDescent="0.2">
      <c r="A6" s="101" t="s">
        <v>727</v>
      </c>
      <c r="B6" s="102">
        <v>19</v>
      </c>
      <c r="J6" t="s">
        <v>727</v>
      </c>
      <c r="K6">
        <v>19</v>
      </c>
    </row>
    <row r="7" spans="1:11" x14ac:dyDescent="0.2">
      <c r="A7" s="101" t="s">
        <v>767</v>
      </c>
      <c r="B7" s="102">
        <v>5</v>
      </c>
      <c r="J7" t="s">
        <v>767</v>
      </c>
      <c r="K7">
        <v>5</v>
      </c>
    </row>
    <row r="8" spans="1:11" x14ac:dyDescent="0.2">
      <c r="A8" s="101" t="s">
        <v>389</v>
      </c>
      <c r="B8" s="102">
        <v>75</v>
      </c>
      <c r="J8" t="s">
        <v>389</v>
      </c>
      <c r="K8">
        <v>75</v>
      </c>
    </row>
    <row r="9" spans="1:11" x14ac:dyDescent="0.2">
      <c r="A9" s="101" t="s">
        <v>764</v>
      </c>
      <c r="B9" s="102">
        <v>47</v>
      </c>
      <c r="J9" t="s">
        <v>764</v>
      </c>
      <c r="K9">
        <v>47</v>
      </c>
    </row>
    <row r="10" spans="1:11" x14ac:dyDescent="0.2">
      <c r="A10" s="101" t="s">
        <v>765</v>
      </c>
      <c r="B10" s="102">
        <v>55</v>
      </c>
      <c r="J10" t="s">
        <v>765</v>
      </c>
      <c r="K10">
        <v>55</v>
      </c>
    </row>
    <row r="11" spans="1:11" x14ac:dyDescent="0.2">
      <c r="A11" s="101" t="s">
        <v>769</v>
      </c>
      <c r="B11" s="102">
        <v>4</v>
      </c>
      <c r="J11" t="s">
        <v>769</v>
      </c>
      <c r="K11">
        <v>4</v>
      </c>
    </row>
    <row r="12" spans="1:11" x14ac:dyDescent="0.2">
      <c r="A12" s="101" t="s">
        <v>1016</v>
      </c>
      <c r="B12" s="102"/>
      <c r="J12" t="s">
        <v>1008</v>
      </c>
      <c r="K12">
        <v>233</v>
      </c>
    </row>
    <row r="13" spans="1:11" x14ac:dyDescent="0.2">
      <c r="A13" s="101" t="s">
        <v>1008</v>
      </c>
      <c r="B13" s="102">
        <v>233</v>
      </c>
      <c r="J13" t="s">
        <v>1008</v>
      </c>
      <c r="K13">
        <v>233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53595-D68C-4B80-AD5E-1D55C17009C9}">
  <sheetPr>
    <tabColor theme="8"/>
  </sheetPr>
  <dimension ref="A3:B12"/>
  <sheetViews>
    <sheetView workbookViewId="0">
      <selection activeCell="Q7" sqref="Q7"/>
    </sheetView>
  </sheetViews>
  <sheetFormatPr defaultRowHeight="15" x14ac:dyDescent="0.2"/>
  <cols>
    <col min="1" max="1" width="13.44921875" bestFit="1" customWidth="1"/>
    <col min="2" max="2" width="13.31640625" bestFit="1" customWidth="1"/>
  </cols>
  <sheetData>
    <row r="3" spans="1:2" x14ac:dyDescent="0.2">
      <c r="A3" s="73" t="s">
        <v>1015</v>
      </c>
      <c r="B3" t="s">
        <v>1017</v>
      </c>
    </row>
    <row r="4" spans="1:2" x14ac:dyDescent="0.2">
      <c r="A4" s="101" t="s">
        <v>1016</v>
      </c>
      <c r="B4" s="102"/>
    </row>
    <row r="5" spans="1:2" x14ac:dyDescent="0.2">
      <c r="A5" s="101" t="s">
        <v>1028</v>
      </c>
      <c r="B5" s="102">
        <v>7</v>
      </c>
    </row>
    <row r="6" spans="1:2" x14ac:dyDescent="0.2">
      <c r="A6" s="101" t="s">
        <v>750</v>
      </c>
      <c r="B6" s="102">
        <v>9</v>
      </c>
    </row>
    <row r="7" spans="1:2" x14ac:dyDescent="0.2">
      <c r="A7" s="101" t="s">
        <v>754</v>
      </c>
      <c r="B7" s="102">
        <v>18</v>
      </c>
    </row>
    <row r="8" spans="1:2" x14ac:dyDescent="0.2">
      <c r="A8" s="101" t="s">
        <v>755</v>
      </c>
      <c r="B8" s="102">
        <v>22</v>
      </c>
    </row>
    <row r="9" spans="1:2" x14ac:dyDescent="0.2">
      <c r="A9" s="101" t="s">
        <v>751</v>
      </c>
      <c r="B9" s="102">
        <v>31</v>
      </c>
    </row>
    <row r="10" spans="1:2" x14ac:dyDescent="0.2">
      <c r="A10" s="101" t="s">
        <v>752</v>
      </c>
      <c r="B10" s="102">
        <v>69</v>
      </c>
    </row>
    <row r="11" spans="1:2" x14ac:dyDescent="0.2">
      <c r="A11" s="101" t="s">
        <v>753</v>
      </c>
      <c r="B11" s="102">
        <v>77</v>
      </c>
    </row>
    <row r="12" spans="1:2" x14ac:dyDescent="0.2">
      <c r="A12" s="101" t="s">
        <v>1008</v>
      </c>
      <c r="B12" s="102">
        <v>233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F18A3-9597-4400-AE8B-6BD0F1B235E7}">
  <sheetPr>
    <tabColor theme="8"/>
  </sheetPr>
  <dimension ref="A3:C20"/>
  <sheetViews>
    <sheetView workbookViewId="0">
      <selection activeCell="C4" sqref="C4"/>
    </sheetView>
  </sheetViews>
  <sheetFormatPr defaultRowHeight="15" x14ac:dyDescent="0.2"/>
  <sheetData>
    <row r="3" spans="1:3" x14ac:dyDescent="0.2">
      <c r="A3" s="92"/>
      <c r="B3" s="93"/>
      <c r="C3" s="94"/>
    </row>
    <row r="4" spans="1:3" x14ac:dyDescent="0.2">
      <c r="A4" s="95"/>
      <c r="B4" s="96"/>
      <c r="C4" s="97"/>
    </row>
    <row r="5" spans="1:3" x14ac:dyDescent="0.2">
      <c r="A5" s="95"/>
      <c r="B5" s="96"/>
      <c r="C5" s="97"/>
    </row>
    <row r="6" spans="1:3" x14ac:dyDescent="0.2">
      <c r="A6" s="95"/>
      <c r="B6" s="96"/>
      <c r="C6" s="97"/>
    </row>
    <row r="7" spans="1:3" x14ac:dyDescent="0.2">
      <c r="A7" s="95"/>
      <c r="B7" s="96"/>
      <c r="C7" s="97"/>
    </row>
    <row r="8" spans="1:3" x14ac:dyDescent="0.2">
      <c r="A8" s="95"/>
      <c r="B8" s="96"/>
      <c r="C8" s="97"/>
    </row>
    <row r="9" spans="1:3" x14ac:dyDescent="0.2">
      <c r="A9" s="95"/>
      <c r="B9" s="96"/>
      <c r="C9" s="97"/>
    </row>
    <row r="10" spans="1:3" x14ac:dyDescent="0.2">
      <c r="A10" s="95"/>
      <c r="B10" s="96"/>
      <c r="C10" s="97"/>
    </row>
    <row r="11" spans="1:3" x14ac:dyDescent="0.2">
      <c r="A11" s="95"/>
      <c r="B11" s="96"/>
      <c r="C11" s="97"/>
    </row>
    <row r="12" spans="1:3" x14ac:dyDescent="0.2">
      <c r="A12" s="95"/>
      <c r="B12" s="96"/>
      <c r="C12" s="97"/>
    </row>
    <row r="13" spans="1:3" x14ac:dyDescent="0.2">
      <c r="A13" s="95"/>
      <c r="B13" s="96"/>
      <c r="C13" s="97"/>
    </row>
    <row r="14" spans="1:3" x14ac:dyDescent="0.2">
      <c r="A14" s="95"/>
      <c r="B14" s="96"/>
      <c r="C14" s="97"/>
    </row>
    <row r="15" spans="1:3" x14ac:dyDescent="0.2">
      <c r="A15" s="95"/>
      <c r="B15" s="96"/>
      <c r="C15" s="97"/>
    </row>
    <row r="16" spans="1:3" x14ac:dyDescent="0.2">
      <c r="A16" s="95"/>
      <c r="B16" s="96"/>
      <c r="C16" s="97"/>
    </row>
    <row r="17" spans="1:3" x14ac:dyDescent="0.2">
      <c r="A17" s="95"/>
      <c r="B17" s="96"/>
      <c r="C17" s="97"/>
    </row>
    <row r="18" spans="1:3" x14ac:dyDescent="0.2">
      <c r="A18" s="95"/>
      <c r="B18" s="96"/>
      <c r="C18" s="97"/>
    </row>
    <row r="19" spans="1:3" x14ac:dyDescent="0.2">
      <c r="A19" s="95"/>
      <c r="B19" s="96"/>
      <c r="C19" s="97"/>
    </row>
    <row r="20" spans="1:3" x14ac:dyDescent="0.2">
      <c r="A20" s="98"/>
      <c r="B20" s="99"/>
      <c r="C20" s="100"/>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33B3-B171-4AB5-9025-736EB4FEEEE1}">
  <sheetPr>
    <tabColor theme="8"/>
  </sheetPr>
  <dimension ref="A1:U32"/>
  <sheetViews>
    <sheetView showGridLines="0" tabSelected="1" zoomScale="60" zoomScaleNormal="60" workbookViewId="0">
      <selection activeCell="A4" sqref="A4:C6"/>
    </sheetView>
  </sheetViews>
  <sheetFormatPr defaultRowHeight="15" x14ac:dyDescent="0.2"/>
  <sheetData>
    <row r="1" spans="1:21" x14ac:dyDescent="0.2">
      <c r="A1" s="106" t="s">
        <v>1031</v>
      </c>
      <c r="B1" s="106"/>
      <c r="C1" s="106"/>
      <c r="D1" s="106"/>
      <c r="E1" s="106"/>
      <c r="F1" s="106"/>
      <c r="G1" s="106"/>
      <c r="H1" s="106"/>
      <c r="I1" s="106"/>
      <c r="J1" s="106"/>
      <c r="K1" s="106"/>
      <c r="L1" s="106"/>
      <c r="M1" s="106"/>
      <c r="N1" s="106"/>
      <c r="O1" s="106"/>
      <c r="P1" s="106"/>
      <c r="Q1" s="106"/>
      <c r="R1" s="106"/>
      <c r="S1" s="106"/>
      <c r="T1" s="106"/>
      <c r="U1" s="106"/>
    </row>
    <row r="2" spans="1:21" x14ac:dyDescent="0.2">
      <c r="A2" s="106"/>
      <c r="B2" s="106"/>
      <c r="C2" s="106"/>
      <c r="D2" s="106"/>
      <c r="E2" s="106"/>
      <c r="F2" s="106"/>
      <c r="G2" s="106"/>
      <c r="H2" s="106"/>
      <c r="I2" s="106"/>
      <c r="J2" s="106"/>
      <c r="K2" s="106"/>
      <c r="L2" s="106"/>
      <c r="M2" s="106"/>
      <c r="N2" s="106"/>
      <c r="O2" s="106"/>
      <c r="P2" s="106"/>
      <c r="Q2" s="106"/>
      <c r="R2" s="106"/>
      <c r="S2" s="106"/>
      <c r="T2" s="106"/>
      <c r="U2" s="106"/>
    </row>
    <row r="3" spans="1:21" x14ac:dyDescent="0.2">
      <c r="A3" s="107" t="s">
        <v>1030</v>
      </c>
      <c r="B3" s="107"/>
      <c r="C3" s="107"/>
      <c r="D3" s="107" t="s">
        <v>1019</v>
      </c>
      <c r="E3" s="107"/>
      <c r="F3" s="107"/>
      <c r="G3" s="107" t="s">
        <v>1029</v>
      </c>
      <c r="H3" s="107"/>
      <c r="I3" s="107"/>
      <c r="J3" s="107" t="s">
        <v>1027</v>
      </c>
      <c r="K3" s="107"/>
      <c r="L3" s="107"/>
      <c r="M3" s="107" t="s">
        <v>1025</v>
      </c>
      <c r="N3" s="107"/>
      <c r="O3" s="107"/>
      <c r="P3" s="107" t="s">
        <v>1024</v>
      </c>
      <c r="Q3" s="107"/>
      <c r="R3" s="107"/>
      <c r="S3" s="107" t="s">
        <v>1003</v>
      </c>
      <c r="T3" s="107"/>
      <c r="U3" s="107"/>
    </row>
    <row r="4" spans="1:21" ht="9.75" customHeight="1" x14ac:dyDescent="0.2">
      <c r="A4" s="113">
        <f>SUM('Main Tracking Sheet'!G:G)</f>
        <v>13341214.17</v>
      </c>
      <c r="B4" s="113"/>
      <c r="C4" s="113"/>
      <c r="D4" s="111">
        <f>COUNT('Main Tracking Sheet'!D:D)</f>
        <v>233</v>
      </c>
      <c r="E4" s="111"/>
      <c r="F4" s="111"/>
      <c r="G4" s="112">
        <f>COUNTIF('Main Tracking Sheet'!R:R,"Closed ")/D4</f>
        <v>0.40343347639484978</v>
      </c>
      <c r="H4" s="112"/>
      <c r="I4" s="112"/>
      <c r="J4" s="112">
        <v>0.65</v>
      </c>
      <c r="K4" s="112"/>
      <c r="L4" s="112"/>
      <c r="M4" s="111" t="s">
        <v>1021</v>
      </c>
      <c r="N4" s="111"/>
      <c r="O4" s="111"/>
      <c r="P4" s="111" t="s">
        <v>1023</v>
      </c>
      <c r="Q4" s="111"/>
      <c r="R4" s="111"/>
      <c r="S4" s="110" t="s">
        <v>1020</v>
      </c>
      <c r="T4" s="110"/>
      <c r="U4" s="110"/>
    </row>
    <row r="5" spans="1:21" ht="8.25" customHeight="1" x14ac:dyDescent="0.2">
      <c r="A5" s="113"/>
      <c r="B5" s="113"/>
      <c r="C5" s="113"/>
      <c r="D5" s="111"/>
      <c r="E5" s="111"/>
      <c r="F5" s="111"/>
      <c r="G5" s="112"/>
      <c r="H5" s="112"/>
      <c r="I5" s="112"/>
      <c r="J5" s="112"/>
      <c r="K5" s="112"/>
      <c r="L5" s="112"/>
      <c r="M5" s="111"/>
      <c r="N5" s="111"/>
      <c r="O5" s="111"/>
      <c r="P5" s="111"/>
      <c r="Q5" s="111"/>
      <c r="R5" s="111"/>
      <c r="S5" s="110"/>
      <c r="T5" s="110"/>
      <c r="U5" s="110"/>
    </row>
    <row r="6" spans="1:21" ht="9.75" customHeight="1" x14ac:dyDescent="0.2">
      <c r="A6" s="113"/>
      <c r="B6" s="113"/>
      <c r="C6" s="113"/>
      <c r="D6" s="111"/>
      <c r="E6" s="111"/>
      <c r="F6" s="111"/>
      <c r="G6" s="112"/>
      <c r="H6" s="112"/>
      <c r="I6" s="112"/>
      <c r="J6" s="112"/>
      <c r="K6" s="112"/>
      <c r="L6" s="112"/>
      <c r="M6" s="111"/>
      <c r="N6" s="111"/>
      <c r="O6" s="111"/>
      <c r="P6" s="111"/>
      <c r="Q6" s="111"/>
      <c r="R6" s="111"/>
      <c r="S6" s="110"/>
      <c r="T6" s="110"/>
      <c r="U6" s="110"/>
    </row>
    <row r="7" spans="1:21" x14ac:dyDescent="0.2">
      <c r="A7" s="108">
        <v>0.2</v>
      </c>
      <c r="B7" s="109"/>
      <c r="C7" s="109"/>
      <c r="D7" s="108">
        <v>0.1</v>
      </c>
      <c r="E7" s="109"/>
      <c r="F7" s="109"/>
      <c r="G7" s="108">
        <v>0.05</v>
      </c>
      <c r="H7" s="109"/>
      <c r="I7" s="109"/>
      <c r="J7" s="108">
        <v>0.3</v>
      </c>
      <c r="K7" s="109"/>
      <c r="L7" s="109"/>
      <c r="M7" s="108">
        <v>0.5</v>
      </c>
      <c r="N7" s="109"/>
      <c r="O7" s="109"/>
      <c r="P7" s="108">
        <v>0.2</v>
      </c>
      <c r="Q7" s="109"/>
      <c r="R7" s="109"/>
      <c r="S7" s="110"/>
      <c r="T7" s="110"/>
      <c r="U7" s="110"/>
    </row>
    <row r="8" spans="1:21" hidden="1" x14ac:dyDescent="0.2">
      <c r="A8" s="108">
        <v>0.01</v>
      </c>
      <c r="B8" s="109"/>
      <c r="C8" s="109"/>
      <c r="D8" s="108">
        <v>0.01</v>
      </c>
      <c r="E8" s="109"/>
      <c r="F8" s="109"/>
      <c r="G8" s="108">
        <v>0.01</v>
      </c>
      <c r="H8" s="109"/>
      <c r="I8" s="109"/>
      <c r="J8" s="108">
        <v>1</v>
      </c>
      <c r="K8" s="109"/>
      <c r="L8" s="109"/>
      <c r="M8" s="108">
        <v>0.01</v>
      </c>
      <c r="N8" s="109"/>
      <c r="O8" s="109"/>
      <c r="P8" s="108">
        <v>0.01</v>
      </c>
      <c r="Q8" s="109"/>
      <c r="R8" s="109"/>
    </row>
    <row r="9" spans="1:21" x14ac:dyDescent="0.2">
      <c r="A9" s="105"/>
      <c r="B9" s="105"/>
      <c r="C9" s="105"/>
      <c r="D9" s="105"/>
      <c r="E9" s="105"/>
      <c r="F9" s="105"/>
      <c r="G9" s="105"/>
      <c r="H9" s="105"/>
      <c r="I9" s="105"/>
      <c r="J9" s="105"/>
      <c r="K9" s="105"/>
      <c r="L9" s="105"/>
      <c r="M9" s="105"/>
      <c r="N9" s="105"/>
      <c r="O9" s="105"/>
      <c r="P9" s="105"/>
      <c r="Q9" s="105"/>
      <c r="R9" s="105"/>
      <c r="S9" s="105"/>
      <c r="T9" s="105"/>
      <c r="U9" s="105"/>
    </row>
    <row r="10" spans="1:21" x14ac:dyDescent="0.2">
      <c r="A10" s="105"/>
      <c r="B10" s="105"/>
      <c r="C10" s="105"/>
      <c r="D10" s="105"/>
      <c r="E10" s="105"/>
      <c r="F10" s="105"/>
      <c r="G10" s="105"/>
      <c r="H10" s="105"/>
      <c r="I10" s="105"/>
      <c r="J10" s="105"/>
      <c r="K10" s="105"/>
      <c r="L10" s="105"/>
      <c r="M10" s="105"/>
      <c r="N10" s="105"/>
      <c r="O10" s="105"/>
      <c r="P10" s="105"/>
      <c r="Q10" s="105"/>
      <c r="R10" s="105"/>
      <c r="S10" s="105"/>
      <c r="T10" s="105"/>
      <c r="U10" s="105"/>
    </row>
    <row r="11" spans="1:21" x14ac:dyDescent="0.2">
      <c r="A11" s="105"/>
      <c r="B11" s="105"/>
      <c r="C11" s="105"/>
      <c r="D11" s="105"/>
      <c r="E11" s="105"/>
      <c r="F11" s="105"/>
      <c r="G11" s="105"/>
      <c r="H11" s="105"/>
      <c r="I11" s="105"/>
      <c r="J11" s="105"/>
      <c r="K11" s="105"/>
      <c r="L11" s="105"/>
      <c r="M11" s="105"/>
      <c r="N11" s="105"/>
      <c r="O11" s="105"/>
      <c r="P11" s="105"/>
      <c r="Q11" s="105"/>
      <c r="R11" s="105"/>
      <c r="S11" s="105"/>
      <c r="T11" s="105"/>
      <c r="U11" s="105"/>
    </row>
    <row r="12" spans="1:21" x14ac:dyDescent="0.2">
      <c r="A12" s="105"/>
      <c r="B12" s="105"/>
      <c r="C12" s="105"/>
      <c r="D12" s="105"/>
      <c r="E12" s="105"/>
      <c r="F12" s="105"/>
      <c r="G12" s="105"/>
      <c r="H12" s="105"/>
      <c r="I12" s="105"/>
      <c r="J12" s="105"/>
      <c r="K12" s="105"/>
      <c r="L12" s="105"/>
      <c r="M12" s="105"/>
      <c r="N12" s="105"/>
      <c r="O12" s="105"/>
      <c r="P12" s="105"/>
      <c r="Q12" s="105"/>
      <c r="R12" s="105"/>
      <c r="S12" s="105"/>
      <c r="T12" s="105"/>
      <c r="U12" s="105"/>
    </row>
    <row r="13" spans="1:21" x14ac:dyDescent="0.2">
      <c r="A13" s="105"/>
      <c r="B13" s="105"/>
      <c r="C13" s="105"/>
      <c r="D13" s="105"/>
      <c r="E13" s="105"/>
      <c r="F13" s="105"/>
      <c r="G13" s="105"/>
      <c r="H13" s="105"/>
      <c r="I13" s="105"/>
      <c r="J13" s="105"/>
      <c r="K13" s="105"/>
      <c r="L13" s="105"/>
      <c r="M13" s="105"/>
      <c r="N13" s="105"/>
      <c r="O13" s="105"/>
      <c r="P13" s="105"/>
      <c r="Q13" s="105"/>
      <c r="R13" s="105"/>
      <c r="S13" s="105"/>
      <c r="T13" s="105"/>
      <c r="U13" s="105"/>
    </row>
    <row r="14" spans="1:21" x14ac:dyDescent="0.2">
      <c r="A14" s="105"/>
      <c r="B14" s="105"/>
      <c r="C14" s="105"/>
      <c r="D14" s="105"/>
      <c r="E14" s="105"/>
      <c r="F14" s="105"/>
      <c r="G14" s="105"/>
      <c r="H14" s="105"/>
      <c r="I14" s="105"/>
      <c r="J14" s="105"/>
      <c r="K14" s="105"/>
      <c r="L14" s="105"/>
      <c r="M14" s="105"/>
      <c r="N14" s="105"/>
      <c r="O14" s="105"/>
      <c r="P14" s="105"/>
      <c r="Q14" s="105"/>
      <c r="R14" s="105"/>
      <c r="S14" s="105"/>
      <c r="T14" s="105"/>
      <c r="U14" s="105"/>
    </row>
    <row r="15" spans="1:21" x14ac:dyDescent="0.2">
      <c r="A15" s="105"/>
      <c r="B15" s="105"/>
      <c r="C15" s="105"/>
      <c r="D15" s="105"/>
      <c r="E15" s="105"/>
      <c r="F15" s="105"/>
      <c r="G15" s="105"/>
      <c r="H15" s="105"/>
      <c r="I15" s="105"/>
      <c r="J15" s="105"/>
      <c r="K15" s="105"/>
      <c r="L15" s="105"/>
      <c r="M15" s="105"/>
      <c r="N15" s="105"/>
      <c r="O15" s="105"/>
      <c r="P15" s="105"/>
      <c r="Q15" s="105"/>
      <c r="R15" s="105"/>
      <c r="S15" s="105"/>
      <c r="T15" s="105"/>
      <c r="U15" s="105"/>
    </row>
    <row r="16" spans="1:21" x14ac:dyDescent="0.2">
      <c r="A16" s="105"/>
      <c r="B16" s="105"/>
      <c r="C16" s="105"/>
      <c r="D16" s="105"/>
      <c r="E16" s="105"/>
      <c r="F16" s="105"/>
      <c r="G16" s="105"/>
      <c r="H16" s="105"/>
      <c r="I16" s="105"/>
      <c r="J16" s="105"/>
      <c r="K16" s="105"/>
      <c r="L16" s="105"/>
      <c r="M16" s="105"/>
      <c r="N16" s="105"/>
      <c r="O16" s="105"/>
      <c r="P16" s="105"/>
      <c r="Q16" s="105"/>
      <c r="R16" s="105"/>
      <c r="S16" s="105"/>
      <c r="T16" s="105"/>
      <c r="U16" s="105"/>
    </row>
    <row r="17" spans="1:21" x14ac:dyDescent="0.2">
      <c r="A17" s="105"/>
      <c r="B17" s="105"/>
      <c r="C17" s="105"/>
      <c r="D17" s="105"/>
      <c r="E17" s="105"/>
      <c r="F17" s="105"/>
      <c r="G17" s="105"/>
      <c r="H17" s="105"/>
      <c r="I17" s="105"/>
      <c r="J17" s="105"/>
      <c r="K17" s="105"/>
      <c r="L17" s="105"/>
      <c r="M17" s="105"/>
      <c r="N17" s="105"/>
      <c r="O17" s="105"/>
      <c r="P17" s="105"/>
      <c r="Q17" s="105"/>
      <c r="R17" s="105"/>
      <c r="S17" s="105"/>
      <c r="T17" s="105"/>
      <c r="U17" s="105"/>
    </row>
    <row r="18" spans="1:21" x14ac:dyDescent="0.2">
      <c r="A18" s="105"/>
      <c r="B18" s="105"/>
      <c r="C18" s="105"/>
      <c r="D18" s="105"/>
      <c r="E18" s="105"/>
      <c r="F18" s="105"/>
      <c r="G18" s="105"/>
      <c r="H18" s="105"/>
      <c r="I18" s="105"/>
      <c r="J18" s="105"/>
      <c r="K18" s="105"/>
      <c r="L18" s="105"/>
      <c r="M18" s="105"/>
      <c r="N18" s="105"/>
      <c r="O18" s="105"/>
      <c r="P18" s="105"/>
      <c r="Q18" s="105"/>
      <c r="R18" s="105"/>
      <c r="S18" s="105"/>
      <c r="T18" s="105"/>
      <c r="U18" s="105"/>
    </row>
    <row r="19" spans="1:21" x14ac:dyDescent="0.2">
      <c r="A19" s="105"/>
      <c r="B19" s="105"/>
      <c r="C19" s="105"/>
      <c r="D19" s="105"/>
      <c r="E19" s="105"/>
      <c r="F19" s="105"/>
      <c r="G19" s="105"/>
      <c r="H19" s="105"/>
      <c r="I19" s="105"/>
      <c r="J19" s="105"/>
      <c r="K19" s="105"/>
      <c r="L19" s="105"/>
      <c r="M19" s="105"/>
      <c r="N19" s="105"/>
      <c r="O19" s="105"/>
      <c r="P19" s="105"/>
      <c r="Q19" s="105"/>
      <c r="R19" s="105"/>
      <c r="S19" s="105"/>
      <c r="T19" s="105"/>
      <c r="U19" s="105"/>
    </row>
    <row r="20" spans="1:21" x14ac:dyDescent="0.2">
      <c r="A20" s="105"/>
      <c r="B20" s="105"/>
      <c r="C20" s="105"/>
      <c r="D20" s="105"/>
      <c r="E20" s="105"/>
      <c r="F20" s="105"/>
      <c r="G20" s="105"/>
      <c r="H20" s="105"/>
      <c r="I20" s="105"/>
      <c r="J20" s="105"/>
      <c r="K20" s="105"/>
      <c r="L20" s="105"/>
      <c r="M20" s="105"/>
      <c r="N20" s="105"/>
      <c r="O20" s="105"/>
      <c r="P20" s="105"/>
      <c r="Q20" s="105"/>
      <c r="R20" s="105"/>
      <c r="S20" s="105"/>
      <c r="T20" s="105"/>
      <c r="U20" s="105"/>
    </row>
    <row r="21" spans="1:21" x14ac:dyDescent="0.2">
      <c r="A21" s="105"/>
      <c r="B21" s="105"/>
      <c r="C21" s="105"/>
      <c r="D21" s="105"/>
      <c r="E21" s="105"/>
      <c r="F21" s="105"/>
      <c r="G21" s="105"/>
      <c r="H21" s="105"/>
      <c r="I21" s="105"/>
      <c r="J21" s="105"/>
      <c r="K21" s="105"/>
      <c r="L21" s="105"/>
      <c r="M21" s="105"/>
      <c r="N21" s="105"/>
      <c r="O21" s="105"/>
      <c r="P21" s="105"/>
      <c r="Q21" s="105"/>
      <c r="R21" s="105"/>
      <c r="S21" s="105"/>
      <c r="T21" s="105"/>
      <c r="U21" s="105"/>
    </row>
    <row r="22" spans="1:21" x14ac:dyDescent="0.2">
      <c r="A22" s="105"/>
      <c r="B22" s="105"/>
      <c r="C22" s="105"/>
      <c r="D22" s="105"/>
      <c r="E22" s="105"/>
      <c r="F22" s="105"/>
      <c r="G22" s="105"/>
      <c r="H22" s="105"/>
      <c r="I22" s="105"/>
      <c r="J22" s="105"/>
      <c r="K22" s="105"/>
      <c r="L22" s="105"/>
      <c r="M22" s="105"/>
      <c r="N22" s="105"/>
      <c r="O22" s="105"/>
      <c r="P22" s="105"/>
      <c r="Q22" s="105"/>
      <c r="R22" s="105"/>
      <c r="S22" s="105"/>
      <c r="T22" s="105"/>
      <c r="U22" s="105"/>
    </row>
    <row r="23" spans="1:21" x14ac:dyDescent="0.2">
      <c r="A23" s="105"/>
      <c r="B23" s="105"/>
      <c r="C23" s="105"/>
      <c r="D23" s="105"/>
      <c r="E23" s="105"/>
      <c r="F23" s="105"/>
      <c r="G23" s="105"/>
      <c r="H23" s="105"/>
      <c r="I23" s="105"/>
      <c r="J23" s="105"/>
      <c r="K23" s="105"/>
      <c r="L23" s="105"/>
      <c r="M23" s="105"/>
      <c r="N23" s="105"/>
      <c r="O23" s="105"/>
      <c r="P23" s="105"/>
      <c r="Q23" s="105"/>
      <c r="R23" s="105"/>
      <c r="S23" s="105"/>
      <c r="T23" s="105"/>
      <c r="U23" s="105"/>
    </row>
    <row r="24" spans="1:21" x14ac:dyDescent="0.2">
      <c r="A24" s="105"/>
      <c r="B24" s="105"/>
      <c r="C24" s="105"/>
      <c r="D24" s="105"/>
      <c r="E24" s="105"/>
      <c r="F24" s="105"/>
      <c r="G24" s="105"/>
      <c r="H24" s="105"/>
      <c r="I24" s="105"/>
      <c r="J24" s="105"/>
      <c r="K24" s="105"/>
      <c r="L24" s="105"/>
      <c r="M24" s="105"/>
      <c r="N24" s="105"/>
      <c r="O24" s="105"/>
      <c r="P24" s="105"/>
      <c r="Q24" s="105"/>
      <c r="R24" s="105"/>
      <c r="S24" s="105"/>
      <c r="T24" s="105"/>
      <c r="U24" s="105"/>
    </row>
    <row r="25" spans="1:21" x14ac:dyDescent="0.2">
      <c r="A25" s="105"/>
      <c r="B25" s="105"/>
      <c r="C25" s="105"/>
      <c r="D25" s="105"/>
      <c r="E25" s="105"/>
      <c r="F25" s="105"/>
      <c r="G25" s="105"/>
      <c r="H25" s="105"/>
      <c r="I25" s="105"/>
      <c r="J25" s="105"/>
      <c r="K25" s="105"/>
      <c r="L25" s="105"/>
      <c r="M25" s="105"/>
      <c r="N25" s="105"/>
      <c r="O25" s="105"/>
      <c r="P25" s="105"/>
      <c r="Q25" s="105"/>
      <c r="R25" s="105"/>
      <c r="S25" s="105"/>
      <c r="T25" s="105"/>
      <c r="U25" s="105"/>
    </row>
    <row r="26" spans="1:21" x14ac:dyDescent="0.2">
      <c r="A26" s="105"/>
      <c r="B26" s="105"/>
      <c r="C26" s="105"/>
      <c r="D26" s="105"/>
      <c r="E26" s="105"/>
      <c r="F26" s="105"/>
      <c r="G26" s="105"/>
      <c r="H26" s="105"/>
      <c r="I26" s="105"/>
      <c r="J26" s="105"/>
      <c r="K26" s="105"/>
      <c r="L26" s="105"/>
      <c r="M26" s="105"/>
      <c r="N26" s="105"/>
      <c r="O26" s="105"/>
      <c r="P26" s="105"/>
      <c r="Q26" s="105"/>
      <c r="R26" s="105"/>
      <c r="S26" s="105"/>
      <c r="T26" s="105"/>
      <c r="U26" s="105"/>
    </row>
    <row r="27" spans="1:21" x14ac:dyDescent="0.2">
      <c r="A27" s="105"/>
      <c r="B27" s="105"/>
      <c r="C27" s="105"/>
      <c r="D27" s="105"/>
      <c r="E27" s="105"/>
      <c r="F27" s="105"/>
      <c r="G27" s="105"/>
      <c r="H27" s="105"/>
      <c r="I27" s="105"/>
      <c r="J27" s="105"/>
      <c r="K27" s="105"/>
      <c r="L27" s="105"/>
      <c r="M27" s="105"/>
      <c r="N27" s="105"/>
      <c r="O27" s="105"/>
      <c r="P27" s="105"/>
      <c r="Q27" s="105"/>
      <c r="R27" s="105"/>
      <c r="S27" s="105"/>
      <c r="T27" s="105"/>
      <c r="U27" s="105"/>
    </row>
    <row r="28" spans="1:21" x14ac:dyDescent="0.2">
      <c r="A28" s="105"/>
      <c r="B28" s="105"/>
      <c r="C28" s="105"/>
      <c r="D28" s="105"/>
      <c r="E28" s="105"/>
      <c r="F28" s="105"/>
      <c r="G28" s="105"/>
      <c r="H28" s="105"/>
      <c r="I28" s="105"/>
      <c r="J28" s="105"/>
      <c r="K28" s="105"/>
      <c r="L28" s="105"/>
      <c r="M28" s="105"/>
      <c r="N28" s="105"/>
      <c r="O28" s="105"/>
      <c r="P28" s="105"/>
      <c r="Q28" s="105"/>
      <c r="R28" s="105"/>
      <c r="S28" s="105"/>
      <c r="T28" s="105"/>
      <c r="U28" s="105"/>
    </row>
    <row r="29" spans="1:21" x14ac:dyDescent="0.2">
      <c r="A29" s="105"/>
      <c r="B29" s="105"/>
      <c r="C29" s="105"/>
      <c r="D29" s="105"/>
      <c r="E29" s="105"/>
      <c r="F29" s="105"/>
      <c r="G29" s="105"/>
      <c r="H29" s="105"/>
      <c r="I29" s="105"/>
      <c r="J29" s="105"/>
      <c r="K29" s="105"/>
      <c r="L29" s="105"/>
      <c r="M29" s="105"/>
      <c r="N29" s="105"/>
      <c r="O29" s="105"/>
      <c r="P29" s="105"/>
      <c r="Q29" s="105"/>
      <c r="R29" s="105"/>
      <c r="S29" s="105"/>
      <c r="T29" s="105"/>
      <c r="U29" s="105"/>
    </row>
    <row r="30" spans="1:21" x14ac:dyDescent="0.2">
      <c r="A30" s="105"/>
      <c r="B30" s="105"/>
      <c r="C30" s="105"/>
      <c r="D30" s="105"/>
      <c r="E30" s="105"/>
      <c r="F30" s="105"/>
      <c r="G30" s="105"/>
      <c r="H30" s="105"/>
      <c r="I30" s="105"/>
      <c r="J30" s="105"/>
      <c r="K30" s="105"/>
      <c r="L30" s="105"/>
      <c r="M30" s="105"/>
      <c r="N30" s="105"/>
      <c r="O30" s="105"/>
      <c r="P30" s="105"/>
      <c r="Q30" s="105"/>
      <c r="R30" s="105"/>
      <c r="S30" s="105"/>
      <c r="T30" s="105"/>
      <c r="U30" s="105"/>
    </row>
    <row r="31" spans="1:21" x14ac:dyDescent="0.2">
      <c r="A31" s="105"/>
      <c r="B31" s="105"/>
      <c r="C31" s="105"/>
      <c r="D31" s="105"/>
      <c r="E31" s="105"/>
      <c r="F31" s="105"/>
      <c r="G31" s="105"/>
      <c r="H31" s="105"/>
      <c r="I31" s="105"/>
      <c r="J31" s="105"/>
      <c r="K31" s="105"/>
      <c r="L31" s="105"/>
      <c r="M31" s="105"/>
      <c r="N31" s="105"/>
      <c r="O31" s="105"/>
      <c r="P31" s="105"/>
      <c r="Q31" s="105"/>
      <c r="R31" s="105"/>
      <c r="S31" s="105"/>
      <c r="T31" s="105"/>
      <c r="U31" s="105"/>
    </row>
    <row r="32" spans="1:21" x14ac:dyDescent="0.2">
      <c r="A32" s="105"/>
      <c r="B32" s="105"/>
      <c r="C32" s="105"/>
      <c r="D32" s="105"/>
      <c r="E32" s="105"/>
      <c r="F32" s="105"/>
      <c r="G32" s="105"/>
      <c r="H32" s="105"/>
      <c r="I32" s="105"/>
      <c r="J32" s="105"/>
      <c r="K32" s="105"/>
      <c r="L32" s="105"/>
      <c r="M32" s="105"/>
      <c r="N32" s="105"/>
      <c r="O32" s="105"/>
      <c r="P32" s="105"/>
      <c r="Q32" s="105"/>
      <c r="R32" s="105"/>
      <c r="S32" s="105"/>
      <c r="T32" s="105"/>
      <c r="U32" s="105"/>
    </row>
  </sheetData>
  <mergeCells count="27">
    <mergeCell ref="J7:L7"/>
    <mergeCell ref="M7:O7"/>
    <mergeCell ref="P7:R7"/>
    <mergeCell ref="A3:C3"/>
    <mergeCell ref="A4:C6"/>
    <mergeCell ref="D3:F3"/>
    <mergeCell ref="D4:F6"/>
    <mergeCell ref="G3:I3"/>
    <mergeCell ref="J3:L3"/>
    <mergeCell ref="M3:O3"/>
    <mergeCell ref="P3:R3"/>
    <mergeCell ref="A1:U2"/>
    <mergeCell ref="S3:U3"/>
    <mergeCell ref="A8:C8"/>
    <mergeCell ref="D8:F8"/>
    <mergeCell ref="G8:I8"/>
    <mergeCell ref="J8:L8"/>
    <mergeCell ref="M8:O8"/>
    <mergeCell ref="P8:R8"/>
    <mergeCell ref="S4:U7"/>
    <mergeCell ref="P4:R6"/>
    <mergeCell ref="G4:I6"/>
    <mergeCell ref="J4:L6"/>
    <mergeCell ref="A7:C7"/>
    <mergeCell ref="D7:F7"/>
    <mergeCell ref="M4:O6"/>
    <mergeCell ref="G7:I7"/>
  </mergeCells>
  <conditionalFormatting sqref="A7:C8">
    <cfRule type="iconSet" priority="6">
      <iconSet iconSet="3Arrows">
        <cfvo type="percent" val="0"/>
        <cfvo type="percent" val="33"/>
        <cfvo type="percent" val="67"/>
      </iconSet>
    </cfRule>
  </conditionalFormatting>
  <conditionalFormatting sqref="D7:F8">
    <cfRule type="iconSet" priority="5">
      <iconSet iconSet="3Arrows">
        <cfvo type="percent" val="0"/>
        <cfvo type="percent" val="33"/>
        <cfvo type="percent" val="67"/>
      </iconSet>
    </cfRule>
  </conditionalFormatting>
  <conditionalFormatting sqref="G7:I8">
    <cfRule type="iconSet" priority="4">
      <iconSet iconSet="3Arrows">
        <cfvo type="percent" val="0"/>
        <cfvo type="percent" val="33"/>
        <cfvo type="percent" val="67"/>
      </iconSet>
    </cfRule>
  </conditionalFormatting>
  <conditionalFormatting sqref="J7:L8">
    <cfRule type="iconSet" priority="3">
      <iconSet iconSet="3Arrows">
        <cfvo type="percent" val="0"/>
        <cfvo type="percent" val="33"/>
        <cfvo type="percent" val="67"/>
      </iconSet>
    </cfRule>
  </conditionalFormatting>
  <conditionalFormatting sqref="M7:O8">
    <cfRule type="iconSet" priority="2">
      <iconSet iconSet="3Arrows">
        <cfvo type="percent" val="0"/>
        <cfvo type="percent" val="33"/>
        <cfvo type="percent" val="67"/>
      </iconSet>
    </cfRule>
  </conditionalFormatting>
  <conditionalFormatting sqref="P7:R8">
    <cfRule type="iconSet" priority="1">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CB33-AB60-4587-B14B-893789D61153}">
  <sheetPr>
    <tabColor theme="8"/>
  </sheetPr>
  <dimension ref="A1:T234"/>
  <sheetViews>
    <sheetView zoomScale="70" zoomScaleNormal="70" workbookViewId="0">
      <selection sqref="A1:XFD1048576"/>
    </sheetView>
  </sheetViews>
  <sheetFormatPr defaultColWidth="44.390625" defaultRowHeight="15" x14ac:dyDescent="0.2"/>
  <cols>
    <col min="1" max="1" width="8.47265625" style="13" bestFit="1" customWidth="1"/>
    <col min="2" max="2" width="14.125" style="13" bestFit="1" customWidth="1"/>
    <col min="3" max="3" width="9.55078125" style="13" bestFit="1" customWidth="1"/>
    <col min="4" max="4" width="12.23828125" style="14" bestFit="1" customWidth="1"/>
    <col min="5" max="5" width="27.84375" style="13" bestFit="1" customWidth="1"/>
    <col min="6" max="6" width="19.1015625" style="13" customWidth="1"/>
    <col min="7" max="7" width="22.46484375" style="68" bestFit="1" customWidth="1"/>
    <col min="8" max="8" width="47.62109375" style="55" customWidth="1"/>
    <col min="9" max="9" width="18.5625" style="14" bestFit="1" customWidth="1"/>
    <col min="10" max="10" width="44.52734375" style="55" customWidth="1"/>
    <col min="11" max="11" width="20.58203125" style="89" customWidth="1"/>
    <col min="12" max="12" width="24.6171875" style="89" bestFit="1" customWidth="1"/>
    <col min="13" max="13" width="16.41015625" style="63" bestFit="1" customWidth="1"/>
    <col min="14" max="14" width="23.80859375" style="104" hidden="1" customWidth="1"/>
    <col min="15" max="15" width="13.85546875" style="13" bestFit="1" customWidth="1"/>
    <col min="16" max="16" width="16.140625" style="14" bestFit="1" customWidth="1"/>
    <col min="17" max="17" width="16.140625" style="62" customWidth="1"/>
    <col min="18" max="18" width="14.66015625" style="13" bestFit="1" customWidth="1"/>
    <col min="19" max="19" width="7.80078125" style="13" bestFit="1" customWidth="1"/>
    <col min="20" max="20" width="6.45703125" style="17" hidden="1" customWidth="1"/>
    <col min="21" max="16384" width="44.390625" style="13"/>
  </cols>
  <sheetData>
    <row r="1" spans="1:20" s="72" customFormat="1" x14ac:dyDescent="0.2">
      <c r="A1" s="69" t="s">
        <v>762</v>
      </c>
      <c r="B1" s="69" t="s">
        <v>757</v>
      </c>
      <c r="C1" s="69" t="s">
        <v>756</v>
      </c>
      <c r="D1" s="83" t="s">
        <v>758</v>
      </c>
      <c r="E1" s="85" t="s">
        <v>763</v>
      </c>
      <c r="F1" s="84" t="s">
        <v>730</v>
      </c>
      <c r="G1" s="76" t="s">
        <v>1010</v>
      </c>
      <c r="H1" s="74" t="s">
        <v>1012</v>
      </c>
      <c r="I1" s="70" t="s">
        <v>1007</v>
      </c>
      <c r="J1" s="54" t="s">
        <v>1013</v>
      </c>
      <c r="K1" s="88" t="s">
        <v>1014</v>
      </c>
      <c r="L1" s="88" t="s">
        <v>731</v>
      </c>
      <c r="M1" s="6" t="s">
        <v>11</v>
      </c>
      <c r="N1" s="103" t="s">
        <v>1026</v>
      </c>
      <c r="O1" s="69" t="s">
        <v>0</v>
      </c>
      <c r="P1" s="70" t="s">
        <v>1006</v>
      </c>
      <c r="Q1" s="70" t="s">
        <v>1022</v>
      </c>
      <c r="R1" s="69" t="s">
        <v>1005</v>
      </c>
      <c r="S1" s="69" t="s">
        <v>1004</v>
      </c>
      <c r="T1" s="71" t="s">
        <v>1003</v>
      </c>
    </row>
    <row r="2" spans="1:20" x14ac:dyDescent="0.2">
      <c r="A2" s="13" t="s">
        <v>750</v>
      </c>
      <c r="B2" s="13" t="s">
        <v>481</v>
      </c>
      <c r="C2" s="68" t="s">
        <v>491</v>
      </c>
      <c r="D2" s="14">
        <v>45933</v>
      </c>
      <c r="E2" s="13" t="s">
        <v>767</v>
      </c>
      <c r="F2" s="13" t="s">
        <v>766</v>
      </c>
      <c r="G2" s="68">
        <v>4930</v>
      </c>
      <c r="H2" s="55">
        <v>7</v>
      </c>
      <c r="I2" s="14">
        <v>45938</v>
      </c>
      <c r="J2" s="55">
        <f>IF(ISBLANK(I2),"",I2-D2)</f>
        <v>5</v>
      </c>
      <c r="K2" s="89">
        <v>5</v>
      </c>
      <c r="L2" s="89" t="s">
        <v>732</v>
      </c>
      <c r="M2" s="56" t="str">
        <f t="shared" ref="M2:M65" si="0">IF(ISBLANK(I2),"",IF(H2&lt;K2,(-(H2-K2)/H2)*100,"100"))</f>
        <v>100</v>
      </c>
      <c r="N2" s="104" t="str">
        <f>IF(J88&gt;=H88,"0",IF(I88&lt;&gt;"","100","50"))</f>
        <v>100</v>
      </c>
      <c r="O2" s="13" t="s">
        <v>770</v>
      </c>
      <c r="P2" s="14">
        <f>I2+30</f>
        <v>45968</v>
      </c>
      <c r="Q2" s="62">
        <f>P2-I2</f>
        <v>30</v>
      </c>
      <c r="R2" s="13" t="s">
        <v>24</v>
      </c>
      <c r="T2" s="13"/>
    </row>
    <row r="3" spans="1:20" x14ac:dyDescent="0.2">
      <c r="A3" s="13" t="s">
        <v>751</v>
      </c>
      <c r="B3" s="13" t="s">
        <v>480</v>
      </c>
      <c r="C3" s="68" t="s">
        <v>492</v>
      </c>
      <c r="D3" s="14">
        <v>45934</v>
      </c>
      <c r="E3" s="13" t="s">
        <v>764</v>
      </c>
      <c r="F3" s="13" t="s">
        <v>759</v>
      </c>
      <c r="G3" s="68">
        <v>475</v>
      </c>
      <c r="H3" s="55">
        <v>7</v>
      </c>
      <c r="I3" s="14">
        <v>45939</v>
      </c>
      <c r="J3" s="55">
        <f t="shared" ref="J3:J66" si="1">IF(ISBLANK(I3),"",I3-D3)</f>
        <v>5</v>
      </c>
      <c r="K3" s="89">
        <v>5</v>
      </c>
      <c r="L3" s="89" t="s">
        <v>732</v>
      </c>
      <c r="M3" s="56" t="str">
        <f t="shared" si="0"/>
        <v>100</v>
      </c>
      <c r="N3" s="104" t="str" cm="1">
        <f t="array" ref="N3">_xlfn.IFS(J3&gt;=H3,"0",J3&lt;H3,"100")</f>
        <v>100</v>
      </c>
      <c r="O3" s="13" t="s">
        <v>771</v>
      </c>
      <c r="P3" s="14">
        <f t="shared" ref="P3:P66" si="2">I3+30</f>
        <v>45969</v>
      </c>
      <c r="Q3" s="62">
        <f t="shared" ref="Q3:Q66" si="3">P3-I3</f>
        <v>30</v>
      </c>
      <c r="R3" s="13" t="s">
        <v>24</v>
      </c>
      <c r="T3" s="17">
        <f t="shared" ref="T3:T65" si="4">-J3/H3</f>
        <v>-0.7142857142857143</v>
      </c>
    </row>
    <row r="4" spans="1:20" x14ac:dyDescent="0.2">
      <c r="A4" s="13" t="s">
        <v>751</v>
      </c>
      <c r="B4" s="13" t="s">
        <v>480</v>
      </c>
      <c r="C4" s="68" t="s">
        <v>493</v>
      </c>
      <c r="D4" s="14">
        <v>45935</v>
      </c>
      <c r="E4" s="13" t="s">
        <v>764</v>
      </c>
      <c r="F4" s="13" t="s">
        <v>759</v>
      </c>
      <c r="G4" s="68">
        <v>400</v>
      </c>
      <c r="H4" s="55">
        <v>7</v>
      </c>
      <c r="I4" s="14">
        <v>45940</v>
      </c>
      <c r="J4" s="55">
        <f t="shared" si="1"/>
        <v>5</v>
      </c>
      <c r="K4" s="89">
        <v>5</v>
      </c>
      <c r="L4" s="89" t="s">
        <v>732</v>
      </c>
      <c r="M4" s="56" t="str">
        <f t="shared" si="0"/>
        <v>100</v>
      </c>
      <c r="N4" s="104" t="str" cm="1">
        <f t="array" ref="N4">_xlfn.IFS(J4&gt;=H4,"0",J4&lt;H4,"100")</f>
        <v>100</v>
      </c>
      <c r="O4" s="13" t="s">
        <v>772</v>
      </c>
      <c r="P4" s="14">
        <f t="shared" si="2"/>
        <v>45970</v>
      </c>
      <c r="Q4" s="62">
        <f t="shared" si="3"/>
        <v>30</v>
      </c>
      <c r="R4" s="13" t="s">
        <v>24</v>
      </c>
      <c r="T4" s="17">
        <f t="shared" si="4"/>
        <v>-0.7142857142857143</v>
      </c>
    </row>
    <row r="5" spans="1:20" x14ac:dyDescent="0.2">
      <c r="A5" s="13" t="s">
        <v>751</v>
      </c>
      <c r="B5" s="13" t="s">
        <v>480</v>
      </c>
      <c r="C5" s="68" t="s">
        <v>494</v>
      </c>
      <c r="D5" s="14">
        <v>45936</v>
      </c>
      <c r="E5" s="13" t="s">
        <v>764</v>
      </c>
      <c r="F5" s="13" t="s">
        <v>759</v>
      </c>
      <c r="G5" s="68">
        <v>6095</v>
      </c>
      <c r="H5" s="55">
        <v>7</v>
      </c>
      <c r="I5" s="14">
        <v>45941</v>
      </c>
      <c r="J5" s="55">
        <f t="shared" si="1"/>
        <v>5</v>
      </c>
      <c r="K5" s="89">
        <v>5</v>
      </c>
      <c r="L5" s="89" t="s">
        <v>732</v>
      </c>
      <c r="M5" s="56" t="str">
        <f t="shared" si="0"/>
        <v>100</v>
      </c>
      <c r="N5" s="104" t="str" cm="1">
        <f t="array" ref="N5">_xlfn.IFS(J5&gt;=H5,"0",J5&lt;H5,"100")</f>
        <v>100</v>
      </c>
      <c r="O5" s="13" t="s">
        <v>773</v>
      </c>
      <c r="P5" s="14">
        <f t="shared" si="2"/>
        <v>45971</v>
      </c>
      <c r="Q5" s="62">
        <f t="shared" si="3"/>
        <v>30</v>
      </c>
      <c r="R5" s="13" t="s">
        <v>24</v>
      </c>
      <c r="T5" s="17">
        <f t="shared" si="4"/>
        <v>-0.7142857142857143</v>
      </c>
    </row>
    <row r="6" spans="1:20" x14ac:dyDescent="0.2">
      <c r="A6" s="13" t="s">
        <v>751</v>
      </c>
      <c r="B6" s="13" t="s">
        <v>480</v>
      </c>
      <c r="C6" s="68" t="s">
        <v>495</v>
      </c>
      <c r="D6" s="14">
        <v>45937</v>
      </c>
      <c r="E6" s="13" t="s">
        <v>764</v>
      </c>
      <c r="F6" s="13" t="s">
        <v>759</v>
      </c>
      <c r="G6" s="68">
        <v>1080</v>
      </c>
      <c r="H6" s="55">
        <v>7</v>
      </c>
      <c r="I6" s="14">
        <v>45942</v>
      </c>
      <c r="J6" s="55">
        <f t="shared" si="1"/>
        <v>5</v>
      </c>
      <c r="K6" s="89">
        <v>5</v>
      </c>
      <c r="L6" s="89" t="s">
        <v>732</v>
      </c>
      <c r="M6" s="56" t="str">
        <f t="shared" si="0"/>
        <v>100</v>
      </c>
      <c r="N6" s="104" t="str" cm="1">
        <f t="array" ref="N6">_xlfn.IFS(J6&gt;=H6,"0",J6&lt;H6,"100")</f>
        <v>100</v>
      </c>
      <c r="O6" s="13" t="s">
        <v>774</v>
      </c>
      <c r="P6" s="14">
        <f t="shared" si="2"/>
        <v>45972</v>
      </c>
      <c r="Q6" s="62">
        <f t="shared" si="3"/>
        <v>30</v>
      </c>
      <c r="R6" s="13" t="s">
        <v>24</v>
      </c>
      <c r="T6" s="17">
        <f t="shared" si="4"/>
        <v>-0.7142857142857143</v>
      </c>
    </row>
    <row r="7" spans="1:20" x14ac:dyDescent="0.2">
      <c r="A7" s="13" t="s">
        <v>751</v>
      </c>
      <c r="B7" s="13" t="s">
        <v>480</v>
      </c>
      <c r="C7" s="68" t="s">
        <v>496</v>
      </c>
      <c r="D7" s="14">
        <v>45938</v>
      </c>
      <c r="E7" s="13" t="s">
        <v>764</v>
      </c>
      <c r="F7" s="13" t="s">
        <v>759</v>
      </c>
      <c r="G7" s="68">
        <v>350000</v>
      </c>
      <c r="H7" s="55">
        <v>15</v>
      </c>
      <c r="I7" s="14">
        <v>45943</v>
      </c>
      <c r="J7" s="55">
        <f t="shared" si="1"/>
        <v>5</v>
      </c>
      <c r="K7" s="89">
        <v>5</v>
      </c>
      <c r="L7" s="89" t="s">
        <v>732</v>
      </c>
      <c r="M7" s="56" t="str">
        <f>IF(ISBLANK(I7),"",IF(H7&lt;K7,(-(H7-K7)/H7)*100,"100"))</f>
        <v>100</v>
      </c>
      <c r="N7" s="104" t="str" cm="1">
        <f t="array" ref="N7">_xlfn.IFS(J7&gt;=H7,"0",J7&lt;H7,"100")</f>
        <v>100</v>
      </c>
      <c r="O7" s="13" t="s">
        <v>775</v>
      </c>
      <c r="P7" s="14">
        <f t="shared" si="2"/>
        <v>45973</v>
      </c>
      <c r="Q7" s="62">
        <f t="shared" si="3"/>
        <v>30</v>
      </c>
      <c r="R7" s="13" t="s">
        <v>24</v>
      </c>
      <c r="T7" s="17">
        <f t="shared" si="4"/>
        <v>-0.33333333333333331</v>
      </c>
    </row>
    <row r="8" spans="1:20" x14ac:dyDescent="0.2">
      <c r="A8" s="13" t="s">
        <v>751</v>
      </c>
      <c r="B8" s="13" t="s">
        <v>480</v>
      </c>
      <c r="C8" s="68" t="s">
        <v>497</v>
      </c>
      <c r="D8" s="14">
        <v>45939</v>
      </c>
      <c r="E8" s="13" t="s">
        <v>764</v>
      </c>
      <c r="F8" s="13" t="s">
        <v>759</v>
      </c>
      <c r="G8" s="68">
        <v>7750</v>
      </c>
      <c r="H8" s="55">
        <v>7</v>
      </c>
      <c r="I8" s="14">
        <v>45944</v>
      </c>
      <c r="J8" s="55">
        <f t="shared" si="1"/>
        <v>5</v>
      </c>
      <c r="K8" s="89">
        <v>5</v>
      </c>
      <c r="L8" s="90" t="s">
        <v>732</v>
      </c>
      <c r="M8" s="56" t="str">
        <f>IF(ISBLANK(I8),"",IF(H8&lt;K8,(-(H8-K8)/H8)*100,"100"))</f>
        <v>100</v>
      </c>
      <c r="N8" s="104" t="str" cm="1">
        <f t="array" ref="N8">_xlfn.IFS(J8&gt;=H8,"0",J8&lt;H8,"100")</f>
        <v>100</v>
      </c>
      <c r="O8" s="13" t="s">
        <v>776</v>
      </c>
      <c r="P8" s="14">
        <f t="shared" si="2"/>
        <v>45974</v>
      </c>
      <c r="Q8" s="62">
        <f t="shared" si="3"/>
        <v>30</v>
      </c>
      <c r="R8" s="13" t="s">
        <v>24</v>
      </c>
      <c r="T8" s="17">
        <f t="shared" si="4"/>
        <v>-0.7142857142857143</v>
      </c>
    </row>
    <row r="9" spans="1:20" x14ac:dyDescent="0.2">
      <c r="A9" s="13" t="s">
        <v>751</v>
      </c>
      <c r="B9" s="13" t="s">
        <v>480</v>
      </c>
      <c r="C9" s="68" t="s">
        <v>498</v>
      </c>
      <c r="D9" s="14">
        <v>45940</v>
      </c>
      <c r="E9" s="13" t="s">
        <v>764</v>
      </c>
      <c r="F9" s="13" t="s">
        <v>759</v>
      </c>
      <c r="G9" s="68">
        <v>200000</v>
      </c>
      <c r="H9" s="55">
        <v>15</v>
      </c>
      <c r="I9" s="14">
        <v>45945</v>
      </c>
      <c r="J9" s="55">
        <f t="shared" si="1"/>
        <v>5</v>
      </c>
      <c r="K9" s="89">
        <v>5</v>
      </c>
      <c r="L9" s="89" t="s">
        <v>732</v>
      </c>
      <c r="M9" s="56" t="str">
        <f t="shared" si="0"/>
        <v>100</v>
      </c>
      <c r="N9" s="104" t="str" cm="1">
        <f t="array" ref="N9">_xlfn.IFS(J9&gt;=H9,"0",J9&lt;H9,"100")</f>
        <v>100</v>
      </c>
      <c r="O9" s="13" t="s">
        <v>777</v>
      </c>
      <c r="P9" s="14">
        <f t="shared" si="2"/>
        <v>45975</v>
      </c>
      <c r="Q9" s="62">
        <f t="shared" si="3"/>
        <v>30</v>
      </c>
      <c r="R9" s="13" t="s">
        <v>24</v>
      </c>
      <c r="T9" s="17">
        <f t="shared" si="4"/>
        <v>-0.33333333333333331</v>
      </c>
    </row>
    <row r="10" spans="1:20" x14ac:dyDescent="0.2">
      <c r="A10" s="13" t="s">
        <v>751</v>
      </c>
      <c r="B10" s="13" t="s">
        <v>480</v>
      </c>
      <c r="C10" s="68" t="s">
        <v>499</v>
      </c>
      <c r="D10" s="14">
        <v>45941</v>
      </c>
      <c r="E10" s="13" t="s">
        <v>764</v>
      </c>
      <c r="F10" s="13" t="s">
        <v>759</v>
      </c>
      <c r="G10" s="68">
        <v>2000</v>
      </c>
      <c r="H10" s="55">
        <v>7</v>
      </c>
      <c r="I10" s="14">
        <v>45946</v>
      </c>
      <c r="J10" s="55">
        <f t="shared" si="1"/>
        <v>5</v>
      </c>
      <c r="K10" s="89">
        <v>5</v>
      </c>
      <c r="L10" s="90" t="s">
        <v>732</v>
      </c>
      <c r="M10" s="56" t="str">
        <f t="shared" si="0"/>
        <v>100</v>
      </c>
      <c r="N10" s="104" t="str" cm="1">
        <f t="array" ref="N10">_xlfn.IFS(J10&gt;=H10,"0",J10&lt;H10,"100")</f>
        <v>100</v>
      </c>
      <c r="O10" s="13" t="s">
        <v>778</v>
      </c>
      <c r="P10" s="14">
        <f t="shared" si="2"/>
        <v>45976</v>
      </c>
      <c r="Q10" s="62">
        <f t="shared" si="3"/>
        <v>30</v>
      </c>
      <c r="R10" s="13" t="s">
        <v>24</v>
      </c>
      <c r="T10" s="17">
        <f t="shared" si="4"/>
        <v>-0.7142857142857143</v>
      </c>
    </row>
    <row r="11" spans="1:20" x14ac:dyDescent="0.2">
      <c r="A11" s="13" t="s">
        <v>751</v>
      </c>
      <c r="B11" s="13" t="s">
        <v>480</v>
      </c>
      <c r="C11" s="68" t="s">
        <v>500</v>
      </c>
      <c r="D11" s="14">
        <v>45942</v>
      </c>
      <c r="E11" s="13" t="s">
        <v>764</v>
      </c>
      <c r="F11" s="13" t="s">
        <v>759</v>
      </c>
      <c r="G11" s="68">
        <v>298500</v>
      </c>
      <c r="H11" s="55">
        <v>15</v>
      </c>
      <c r="I11" s="14">
        <v>45947</v>
      </c>
      <c r="J11" s="55">
        <f t="shared" si="1"/>
        <v>5</v>
      </c>
      <c r="K11" s="89">
        <v>5</v>
      </c>
      <c r="L11" s="89" t="s">
        <v>732</v>
      </c>
      <c r="M11" s="56" t="str">
        <f t="shared" si="0"/>
        <v>100</v>
      </c>
      <c r="N11" s="104" t="str" cm="1">
        <f t="array" ref="N11">_xlfn.IFS(J11&gt;=H11,"0",J11&lt;H11,"100")</f>
        <v>100</v>
      </c>
      <c r="O11" s="13" t="s">
        <v>779</v>
      </c>
      <c r="P11" s="14">
        <f t="shared" si="2"/>
        <v>45977</v>
      </c>
      <c r="Q11" s="62">
        <f t="shared" si="3"/>
        <v>30</v>
      </c>
      <c r="R11" s="13" t="s">
        <v>24</v>
      </c>
      <c r="T11" s="17">
        <f t="shared" si="4"/>
        <v>-0.33333333333333331</v>
      </c>
    </row>
    <row r="12" spans="1:20" x14ac:dyDescent="0.2">
      <c r="A12" s="13" t="s">
        <v>751</v>
      </c>
      <c r="B12" s="13" t="s">
        <v>480</v>
      </c>
      <c r="C12" s="68" t="s">
        <v>501</v>
      </c>
      <c r="D12" s="14">
        <v>45943</v>
      </c>
      <c r="E12" s="13" t="s">
        <v>764</v>
      </c>
      <c r="F12" s="13" t="s">
        <v>759</v>
      </c>
      <c r="G12" s="68">
        <v>801</v>
      </c>
      <c r="H12" s="55">
        <v>7</v>
      </c>
      <c r="I12" s="14">
        <v>45948</v>
      </c>
      <c r="J12" s="55">
        <f t="shared" si="1"/>
        <v>5</v>
      </c>
      <c r="K12" s="89">
        <v>5</v>
      </c>
      <c r="L12" s="90" t="s">
        <v>732</v>
      </c>
      <c r="M12" s="56" t="str">
        <f t="shared" si="0"/>
        <v>100</v>
      </c>
      <c r="N12" s="104" t="str" cm="1">
        <f t="array" ref="N12">_xlfn.IFS(J12&gt;=H12,"0",J12&lt;H12,"100")</f>
        <v>100</v>
      </c>
      <c r="O12" s="13" t="s">
        <v>780</v>
      </c>
      <c r="P12" s="14">
        <f t="shared" si="2"/>
        <v>45978</v>
      </c>
      <c r="Q12" s="62">
        <f t="shared" si="3"/>
        <v>30</v>
      </c>
      <c r="R12" s="13" t="s">
        <v>24</v>
      </c>
      <c r="T12" s="17">
        <f t="shared" si="4"/>
        <v>-0.7142857142857143</v>
      </c>
    </row>
    <row r="13" spans="1:20" x14ac:dyDescent="0.2">
      <c r="A13" s="13" t="s">
        <v>751</v>
      </c>
      <c r="B13" s="13" t="s">
        <v>480</v>
      </c>
      <c r="C13" s="68" t="s">
        <v>502</v>
      </c>
      <c r="D13" s="14">
        <v>45944</v>
      </c>
      <c r="E13" s="13" t="s">
        <v>764</v>
      </c>
      <c r="F13" s="13" t="s">
        <v>759</v>
      </c>
      <c r="G13" s="68">
        <v>266760</v>
      </c>
      <c r="H13" s="55">
        <v>15</v>
      </c>
      <c r="I13" s="14">
        <v>45949</v>
      </c>
      <c r="J13" s="55">
        <f t="shared" si="1"/>
        <v>5</v>
      </c>
      <c r="K13" s="89">
        <v>5</v>
      </c>
      <c r="L13" s="89" t="s">
        <v>732</v>
      </c>
      <c r="M13" s="56" t="str">
        <f t="shared" si="0"/>
        <v>100</v>
      </c>
      <c r="N13" s="104" t="str" cm="1">
        <f t="array" ref="N13">_xlfn.IFS(J13&gt;=H13,"0",J13&lt;H13,"100")</f>
        <v>100</v>
      </c>
      <c r="O13" s="13" t="s">
        <v>781</v>
      </c>
      <c r="P13" s="14">
        <f t="shared" si="2"/>
        <v>45979</v>
      </c>
      <c r="Q13" s="62">
        <f t="shared" si="3"/>
        <v>30</v>
      </c>
      <c r="R13" s="13" t="s">
        <v>24</v>
      </c>
      <c r="T13" s="17">
        <f t="shared" si="4"/>
        <v>-0.33333333333333331</v>
      </c>
    </row>
    <row r="14" spans="1:20" x14ac:dyDescent="0.2">
      <c r="A14" s="13" t="s">
        <v>751</v>
      </c>
      <c r="B14" s="13" t="s">
        <v>480</v>
      </c>
      <c r="C14" s="68" t="s">
        <v>503</v>
      </c>
      <c r="D14" s="14">
        <v>45945</v>
      </c>
      <c r="E14" s="86" t="s">
        <v>389</v>
      </c>
      <c r="F14" s="13" t="s">
        <v>759</v>
      </c>
      <c r="G14" s="68">
        <v>632</v>
      </c>
      <c r="H14" s="55">
        <v>7</v>
      </c>
      <c r="I14" s="14">
        <v>45950</v>
      </c>
      <c r="J14" s="55">
        <f t="shared" si="1"/>
        <v>5</v>
      </c>
      <c r="K14" s="89">
        <v>5</v>
      </c>
      <c r="L14" s="89" t="s">
        <v>732</v>
      </c>
      <c r="M14" s="56" t="str">
        <f t="shared" si="0"/>
        <v>100</v>
      </c>
      <c r="N14" s="104" t="str" cm="1">
        <f t="array" ref="N14">_xlfn.IFS(J14&gt;=H14,"0",J14&lt;H14,"100")</f>
        <v>100</v>
      </c>
      <c r="O14" s="13" t="s">
        <v>782</v>
      </c>
      <c r="P14" s="14">
        <f t="shared" si="2"/>
        <v>45980</v>
      </c>
      <c r="Q14" s="62">
        <f t="shared" si="3"/>
        <v>30</v>
      </c>
      <c r="R14" s="13" t="s">
        <v>24</v>
      </c>
      <c r="T14" s="17">
        <f t="shared" si="4"/>
        <v>-0.7142857142857143</v>
      </c>
    </row>
    <row r="15" spans="1:20" x14ac:dyDescent="0.2">
      <c r="A15" s="13" t="s">
        <v>751</v>
      </c>
      <c r="B15" s="13" t="s">
        <v>480</v>
      </c>
      <c r="C15" s="68" t="s">
        <v>504</v>
      </c>
      <c r="D15" s="14">
        <v>45946</v>
      </c>
      <c r="E15" s="86" t="s">
        <v>389</v>
      </c>
      <c r="F15" s="13" t="s">
        <v>759</v>
      </c>
      <c r="G15" s="68">
        <v>1725</v>
      </c>
      <c r="H15" s="55">
        <v>7</v>
      </c>
      <c r="I15" s="14">
        <v>45951</v>
      </c>
      <c r="J15" s="55">
        <f t="shared" si="1"/>
        <v>5</v>
      </c>
      <c r="K15" s="89">
        <v>5</v>
      </c>
      <c r="L15" s="89" t="s">
        <v>732</v>
      </c>
      <c r="M15" s="56" t="str">
        <f t="shared" si="0"/>
        <v>100</v>
      </c>
      <c r="N15" s="104" t="str" cm="1">
        <f t="array" ref="N15">_xlfn.IFS(J15&gt;=H15,"0",J15&lt;H15,"100")</f>
        <v>100</v>
      </c>
      <c r="O15" s="13" t="s">
        <v>783</v>
      </c>
      <c r="P15" s="14">
        <f t="shared" si="2"/>
        <v>45981</v>
      </c>
      <c r="Q15" s="62">
        <f t="shared" si="3"/>
        <v>30</v>
      </c>
      <c r="R15" s="13" t="s">
        <v>24</v>
      </c>
      <c r="T15" s="17">
        <f t="shared" si="4"/>
        <v>-0.7142857142857143</v>
      </c>
    </row>
    <row r="16" spans="1:20" x14ac:dyDescent="0.2">
      <c r="A16" s="13" t="s">
        <v>751</v>
      </c>
      <c r="B16" s="13" t="s">
        <v>480</v>
      </c>
      <c r="C16" s="68" t="s">
        <v>505</v>
      </c>
      <c r="D16" s="14">
        <v>45947</v>
      </c>
      <c r="E16" s="86" t="s">
        <v>389</v>
      </c>
      <c r="F16" s="13" t="s">
        <v>759</v>
      </c>
      <c r="G16" s="68">
        <v>830</v>
      </c>
      <c r="H16" s="55">
        <v>7</v>
      </c>
      <c r="I16" s="14">
        <v>45952</v>
      </c>
      <c r="J16" s="55">
        <f t="shared" si="1"/>
        <v>5</v>
      </c>
      <c r="K16" s="89">
        <v>5</v>
      </c>
      <c r="L16" s="89" t="s">
        <v>732</v>
      </c>
      <c r="M16" s="56" t="str">
        <f t="shared" si="0"/>
        <v>100</v>
      </c>
      <c r="N16" s="104" t="str" cm="1">
        <f t="array" ref="N16">_xlfn.IFS(J16&gt;=H16,"0",J16&lt;H16,"100")</f>
        <v>100</v>
      </c>
      <c r="O16" s="13" t="s">
        <v>784</v>
      </c>
      <c r="P16" s="14">
        <f t="shared" si="2"/>
        <v>45982</v>
      </c>
      <c r="Q16" s="62">
        <f t="shared" si="3"/>
        <v>30</v>
      </c>
      <c r="R16" s="13" t="s">
        <v>24</v>
      </c>
      <c r="T16" s="17">
        <f t="shared" si="4"/>
        <v>-0.7142857142857143</v>
      </c>
    </row>
    <row r="17" spans="1:20" s="16" customFormat="1" x14ac:dyDescent="0.2">
      <c r="A17" s="13" t="s">
        <v>751</v>
      </c>
      <c r="B17" s="13" t="s">
        <v>480</v>
      </c>
      <c r="C17" s="68" t="s">
        <v>506</v>
      </c>
      <c r="D17" s="14">
        <v>45948</v>
      </c>
      <c r="E17" s="86" t="s">
        <v>389</v>
      </c>
      <c r="F17" s="13" t="s">
        <v>759</v>
      </c>
      <c r="G17" s="68">
        <v>280</v>
      </c>
      <c r="H17" s="55">
        <v>7</v>
      </c>
      <c r="I17" s="14">
        <v>45953</v>
      </c>
      <c r="J17" s="55">
        <f t="shared" si="1"/>
        <v>5</v>
      </c>
      <c r="K17" s="89">
        <v>5</v>
      </c>
      <c r="L17" s="91" t="s">
        <v>732</v>
      </c>
      <c r="M17" s="56" t="str">
        <f t="shared" si="0"/>
        <v>100</v>
      </c>
      <c r="N17" s="104" t="str" cm="1">
        <f t="array" ref="N17">_xlfn.IFS(J17&gt;=H17,"0",J17&lt;H17,"100")</f>
        <v>100</v>
      </c>
      <c r="O17" s="13" t="s">
        <v>785</v>
      </c>
      <c r="P17" s="14">
        <f t="shared" si="2"/>
        <v>45983</v>
      </c>
      <c r="Q17" s="62">
        <f t="shared" si="3"/>
        <v>30</v>
      </c>
      <c r="R17" s="13" t="s">
        <v>24</v>
      </c>
      <c r="S17" s="13"/>
      <c r="T17" s="17">
        <f t="shared" si="4"/>
        <v>-0.7142857142857143</v>
      </c>
    </row>
    <row r="18" spans="1:20" s="16" customFormat="1" x14ac:dyDescent="0.2">
      <c r="A18" s="13" t="s">
        <v>751</v>
      </c>
      <c r="B18" s="13" t="s">
        <v>480</v>
      </c>
      <c r="C18" s="68" t="s">
        <v>507</v>
      </c>
      <c r="D18" s="14">
        <v>45949</v>
      </c>
      <c r="E18" s="86" t="s">
        <v>389</v>
      </c>
      <c r="F18" s="13" t="s">
        <v>759</v>
      </c>
      <c r="G18" s="68">
        <v>191</v>
      </c>
      <c r="H18" s="55">
        <v>7</v>
      </c>
      <c r="I18" s="14">
        <v>45954</v>
      </c>
      <c r="J18" s="55">
        <f t="shared" si="1"/>
        <v>5</v>
      </c>
      <c r="K18" s="89">
        <v>5</v>
      </c>
      <c r="L18" s="91" t="s">
        <v>732</v>
      </c>
      <c r="M18" s="56" t="str">
        <f t="shared" si="0"/>
        <v>100</v>
      </c>
      <c r="N18" s="104" t="str" cm="1">
        <f t="array" ref="N18">_xlfn.IFS(J18&gt;=H18,"0",J18&lt;H18,"100")</f>
        <v>100</v>
      </c>
      <c r="O18" s="13" t="s">
        <v>786</v>
      </c>
      <c r="P18" s="14">
        <f t="shared" si="2"/>
        <v>45984</v>
      </c>
      <c r="Q18" s="62">
        <f t="shared" si="3"/>
        <v>30</v>
      </c>
      <c r="R18" s="13" t="s">
        <v>24</v>
      </c>
      <c r="S18" s="13"/>
      <c r="T18" s="17">
        <f t="shared" si="4"/>
        <v>-0.7142857142857143</v>
      </c>
    </row>
    <row r="19" spans="1:20" s="16" customFormat="1" x14ac:dyDescent="0.2">
      <c r="A19" s="13" t="s">
        <v>751</v>
      </c>
      <c r="B19" s="13" t="s">
        <v>480</v>
      </c>
      <c r="C19" s="68" t="s">
        <v>508</v>
      </c>
      <c r="D19" s="14">
        <v>45950</v>
      </c>
      <c r="E19" s="86" t="s">
        <v>389</v>
      </c>
      <c r="F19" s="13" t="s">
        <v>759</v>
      </c>
      <c r="G19" s="68">
        <v>2500</v>
      </c>
      <c r="H19" s="55">
        <v>7</v>
      </c>
      <c r="I19" s="14">
        <v>45955</v>
      </c>
      <c r="J19" s="55">
        <f t="shared" si="1"/>
        <v>5</v>
      </c>
      <c r="K19" s="89">
        <v>5</v>
      </c>
      <c r="L19" s="89" t="s">
        <v>732</v>
      </c>
      <c r="M19" s="56" t="str">
        <f t="shared" si="0"/>
        <v>100</v>
      </c>
      <c r="N19" s="104" t="str" cm="1">
        <f t="array" ref="N19">_xlfn.IFS(J19&gt;=H19,"0",J19&lt;H19,"100")</f>
        <v>100</v>
      </c>
      <c r="O19" s="13" t="s">
        <v>787</v>
      </c>
      <c r="P19" s="14">
        <f t="shared" si="2"/>
        <v>45985</v>
      </c>
      <c r="Q19" s="62">
        <f t="shared" si="3"/>
        <v>30</v>
      </c>
      <c r="R19" s="13" t="s">
        <v>24</v>
      </c>
      <c r="S19" s="13"/>
      <c r="T19" s="17">
        <f t="shared" si="4"/>
        <v>-0.7142857142857143</v>
      </c>
    </row>
    <row r="20" spans="1:20" s="16" customFormat="1" x14ac:dyDescent="0.2">
      <c r="A20" s="13" t="s">
        <v>751</v>
      </c>
      <c r="B20" s="13" t="s">
        <v>480</v>
      </c>
      <c r="C20" s="68" t="s">
        <v>509</v>
      </c>
      <c r="D20" s="14">
        <v>45951</v>
      </c>
      <c r="E20" s="86" t="s">
        <v>389</v>
      </c>
      <c r="F20" s="13" t="s">
        <v>759</v>
      </c>
      <c r="G20" s="68">
        <v>150</v>
      </c>
      <c r="H20" s="55">
        <v>7</v>
      </c>
      <c r="I20" s="14">
        <v>45956</v>
      </c>
      <c r="J20" s="55">
        <f t="shared" si="1"/>
        <v>5</v>
      </c>
      <c r="K20" s="89">
        <v>5</v>
      </c>
      <c r="L20" s="89" t="s">
        <v>732</v>
      </c>
      <c r="M20" s="56" t="str">
        <f t="shared" si="0"/>
        <v>100</v>
      </c>
      <c r="N20" s="104" t="str" cm="1">
        <f t="array" ref="N20">_xlfn.IFS(J20&gt;=H20,"0",J20&lt;H20,"100")</f>
        <v>100</v>
      </c>
      <c r="O20" s="13" t="s">
        <v>788</v>
      </c>
      <c r="P20" s="14">
        <f t="shared" si="2"/>
        <v>45986</v>
      </c>
      <c r="Q20" s="62">
        <f t="shared" si="3"/>
        <v>30</v>
      </c>
      <c r="R20" s="13" t="s">
        <v>24</v>
      </c>
      <c r="S20" s="13"/>
      <c r="T20" s="17">
        <f t="shared" si="4"/>
        <v>-0.7142857142857143</v>
      </c>
    </row>
    <row r="21" spans="1:20" s="16" customFormat="1" x14ac:dyDescent="0.2">
      <c r="A21" s="13" t="s">
        <v>751</v>
      </c>
      <c r="B21" s="13" t="s">
        <v>480</v>
      </c>
      <c r="C21" s="68" t="s">
        <v>510</v>
      </c>
      <c r="D21" s="14">
        <v>45952</v>
      </c>
      <c r="E21" s="86" t="s">
        <v>389</v>
      </c>
      <c r="F21" s="13" t="s">
        <v>759</v>
      </c>
      <c r="G21" s="68">
        <v>300</v>
      </c>
      <c r="H21" s="55">
        <v>7</v>
      </c>
      <c r="I21" s="14">
        <v>45957</v>
      </c>
      <c r="J21" s="55">
        <f t="shared" si="1"/>
        <v>5</v>
      </c>
      <c r="K21" s="89">
        <v>5</v>
      </c>
      <c r="L21" s="89" t="s">
        <v>732</v>
      </c>
      <c r="M21" s="56" t="str">
        <f t="shared" si="0"/>
        <v>100</v>
      </c>
      <c r="N21" s="104" t="str" cm="1">
        <f t="array" ref="N21">_xlfn.IFS(J21&gt;=H21,"0",J21&lt;H21,"100")</f>
        <v>100</v>
      </c>
      <c r="O21" s="13" t="s">
        <v>789</v>
      </c>
      <c r="P21" s="14">
        <f t="shared" si="2"/>
        <v>45987</v>
      </c>
      <c r="Q21" s="62">
        <f t="shared" si="3"/>
        <v>30</v>
      </c>
      <c r="R21" s="13" t="s">
        <v>24</v>
      </c>
      <c r="S21" s="13"/>
      <c r="T21" s="17">
        <f t="shared" si="4"/>
        <v>-0.7142857142857143</v>
      </c>
    </row>
    <row r="22" spans="1:20" s="16" customFormat="1" x14ac:dyDescent="0.2">
      <c r="A22" s="13" t="s">
        <v>751</v>
      </c>
      <c r="B22" s="13" t="s">
        <v>480</v>
      </c>
      <c r="C22" s="68" t="s">
        <v>511</v>
      </c>
      <c r="D22" s="14">
        <v>45953</v>
      </c>
      <c r="E22" s="86" t="s">
        <v>389</v>
      </c>
      <c r="F22" s="13" t="s">
        <v>759</v>
      </c>
      <c r="G22" s="68">
        <v>450</v>
      </c>
      <c r="H22" s="55">
        <v>7</v>
      </c>
      <c r="I22" s="14">
        <v>45958</v>
      </c>
      <c r="J22" s="55">
        <f t="shared" si="1"/>
        <v>5</v>
      </c>
      <c r="K22" s="89">
        <v>5</v>
      </c>
      <c r="L22" s="89" t="s">
        <v>732</v>
      </c>
      <c r="M22" s="56" t="str">
        <f t="shared" si="0"/>
        <v>100</v>
      </c>
      <c r="N22" s="104" t="str" cm="1">
        <f t="array" ref="N22">_xlfn.IFS(J22&gt;=H22,"0",J22&lt;H22,"100")</f>
        <v>100</v>
      </c>
      <c r="O22" s="13" t="s">
        <v>790</v>
      </c>
      <c r="P22" s="14">
        <f t="shared" si="2"/>
        <v>45988</v>
      </c>
      <c r="Q22" s="62">
        <f t="shared" si="3"/>
        <v>30</v>
      </c>
      <c r="R22" s="13" t="s">
        <v>24</v>
      </c>
      <c r="S22" s="13"/>
      <c r="T22" s="17">
        <f t="shared" si="4"/>
        <v>-0.7142857142857143</v>
      </c>
    </row>
    <row r="23" spans="1:20" s="16" customFormat="1" x14ac:dyDescent="0.2">
      <c r="A23" s="13" t="s">
        <v>754</v>
      </c>
      <c r="B23" s="13" t="s">
        <v>749</v>
      </c>
      <c r="C23" s="68" t="s">
        <v>512</v>
      </c>
      <c r="D23" s="14">
        <v>45954</v>
      </c>
      <c r="E23" s="13" t="s">
        <v>727</v>
      </c>
      <c r="F23" s="13" t="s">
        <v>759</v>
      </c>
      <c r="G23" s="68">
        <v>3474.15</v>
      </c>
      <c r="H23" s="55">
        <v>7</v>
      </c>
      <c r="I23" s="14">
        <v>45959</v>
      </c>
      <c r="J23" s="55">
        <f t="shared" si="1"/>
        <v>5</v>
      </c>
      <c r="K23" s="89">
        <v>5</v>
      </c>
      <c r="L23" s="89" t="s">
        <v>732</v>
      </c>
      <c r="M23" s="56" t="str">
        <f t="shared" si="0"/>
        <v>100</v>
      </c>
      <c r="N23" s="104" t="str" cm="1">
        <f t="array" ref="N23">_xlfn.IFS(J23&gt;=H23,"0",J23&lt;H23,"100")</f>
        <v>100</v>
      </c>
      <c r="O23" s="13" t="s">
        <v>791</v>
      </c>
      <c r="P23" s="14">
        <f t="shared" si="2"/>
        <v>45989</v>
      </c>
      <c r="Q23" s="62">
        <f t="shared" si="3"/>
        <v>30</v>
      </c>
      <c r="R23" s="13" t="s">
        <v>24</v>
      </c>
      <c r="S23" s="13"/>
      <c r="T23" s="17">
        <f t="shared" si="4"/>
        <v>-0.7142857142857143</v>
      </c>
    </row>
    <row r="24" spans="1:20" s="16" customFormat="1" x14ac:dyDescent="0.2">
      <c r="A24" s="13" t="s">
        <v>751</v>
      </c>
      <c r="B24" s="13" t="s">
        <v>480</v>
      </c>
      <c r="C24" s="68" t="s">
        <v>513</v>
      </c>
      <c r="D24" s="14">
        <v>45955</v>
      </c>
      <c r="E24" s="86" t="s">
        <v>389</v>
      </c>
      <c r="F24" s="13" t="s">
        <v>759</v>
      </c>
      <c r="G24" s="68">
        <v>150</v>
      </c>
      <c r="H24" s="55">
        <v>7</v>
      </c>
      <c r="I24" s="14">
        <v>45960</v>
      </c>
      <c r="J24" s="55">
        <f t="shared" si="1"/>
        <v>5</v>
      </c>
      <c r="K24" s="89">
        <v>5</v>
      </c>
      <c r="L24" s="89" t="s">
        <v>732</v>
      </c>
      <c r="M24" s="56" t="str">
        <f t="shared" si="0"/>
        <v>100</v>
      </c>
      <c r="N24" s="104" t="str" cm="1">
        <f t="array" ref="N24">_xlfn.IFS(J24&gt;=H24,"0",J24&lt;H24,"100")</f>
        <v>100</v>
      </c>
      <c r="O24" s="13" t="s">
        <v>792</v>
      </c>
      <c r="P24" s="14">
        <f t="shared" si="2"/>
        <v>45990</v>
      </c>
      <c r="Q24" s="62">
        <f t="shared" si="3"/>
        <v>30</v>
      </c>
      <c r="R24" s="13" t="s">
        <v>24</v>
      </c>
      <c r="S24" s="13"/>
      <c r="T24" s="17">
        <f t="shared" si="4"/>
        <v>-0.7142857142857143</v>
      </c>
    </row>
    <row r="25" spans="1:20" s="16" customFormat="1" x14ac:dyDescent="0.2">
      <c r="A25" s="13" t="s">
        <v>751</v>
      </c>
      <c r="B25" s="13" t="s">
        <v>480</v>
      </c>
      <c r="C25" s="68" t="s">
        <v>514</v>
      </c>
      <c r="D25" s="14">
        <v>45956</v>
      </c>
      <c r="E25" s="86" t="s">
        <v>389</v>
      </c>
      <c r="F25" s="13" t="s">
        <v>759</v>
      </c>
      <c r="G25" s="68">
        <v>1200</v>
      </c>
      <c r="H25" s="55">
        <v>7</v>
      </c>
      <c r="I25" s="14">
        <v>45961</v>
      </c>
      <c r="J25" s="55">
        <f t="shared" si="1"/>
        <v>5</v>
      </c>
      <c r="K25" s="89">
        <v>5</v>
      </c>
      <c r="L25" s="91" t="s">
        <v>732</v>
      </c>
      <c r="M25" s="56" t="str">
        <f t="shared" si="0"/>
        <v>100</v>
      </c>
      <c r="N25" s="104" t="str" cm="1">
        <f t="array" ref="N25">_xlfn.IFS(J25&gt;=H25,"0",J25&lt;H25,"100")</f>
        <v>100</v>
      </c>
      <c r="O25" s="13" t="s">
        <v>793</v>
      </c>
      <c r="P25" s="14">
        <f t="shared" si="2"/>
        <v>45991</v>
      </c>
      <c r="Q25" s="62">
        <f t="shared" si="3"/>
        <v>30</v>
      </c>
      <c r="R25" s="13" t="s">
        <v>24</v>
      </c>
      <c r="S25" s="13"/>
      <c r="T25" s="17">
        <f t="shared" si="4"/>
        <v>-0.7142857142857143</v>
      </c>
    </row>
    <row r="26" spans="1:20" s="16" customFormat="1" x14ac:dyDescent="0.2">
      <c r="A26" s="13" t="s">
        <v>751</v>
      </c>
      <c r="B26" s="13" t="s">
        <v>480</v>
      </c>
      <c r="C26" s="68" t="s">
        <v>515</v>
      </c>
      <c r="D26" s="14">
        <v>45957</v>
      </c>
      <c r="E26" s="86" t="s">
        <v>389</v>
      </c>
      <c r="F26" s="13" t="s">
        <v>759</v>
      </c>
      <c r="G26" s="68">
        <v>500</v>
      </c>
      <c r="H26" s="55">
        <v>7</v>
      </c>
      <c r="I26" s="14">
        <v>45969</v>
      </c>
      <c r="J26" s="55">
        <f t="shared" si="1"/>
        <v>12</v>
      </c>
      <c r="K26" s="89">
        <v>12</v>
      </c>
      <c r="L26" s="89">
        <v>-71.428571428571431</v>
      </c>
      <c r="M26" s="56">
        <f t="shared" si="0"/>
        <v>71.428571428571431</v>
      </c>
      <c r="N26" s="104" t="str" cm="1">
        <f t="array" ref="N26">_xlfn.IFS(J26&gt;=H26,"0",J26&lt;H26,"100")</f>
        <v>0</v>
      </c>
      <c r="O26" s="13" t="s">
        <v>794</v>
      </c>
      <c r="P26" s="14">
        <f t="shared" si="2"/>
        <v>45999</v>
      </c>
      <c r="Q26" s="62">
        <f t="shared" si="3"/>
        <v>30</v>
      </c>
      <c r="R26" s="13" t="s">
        <v>24</v>
      </c>
      <c r="S26" s="13"/>
      <c r="T26" s="17">
        <f t="shared" si="4"/>
        <v>-1.7142857142857142</v>
      </c>
    </row>
    <row r="27" spans="1:20" s="16" customFormat="1" x14ac:dyDescent="0.2">
      <c r="A27" s="13" t="s">
        <v>751</v>
      </c>
      <c r="B27" s="13" t="s">
        <v>480</v>
      </c>
      <c r="C27" s="68" t="s">
        <v>516</v>
      </c>
      <c r="D27" s="14">
        <v>45958</v>
      </c>
      <c r="E27" s="86" t="s">
        <v>389</v>
      </c>
      <c r="F27" s="13" t="s">
        <v>759</v>
      </c>
      <c r="G27" s="68">
        <v>500</v>
      </c>
      <c r="H27" s="55">
        <v>7</v>
      </c>
      <c r="I27" s="14">
        <v>45970</v>
      </c>
      <c r="J27" s="55">
        <f t="shared" si="1"/>
        <v>12</v>
      </c>
      <c r="K27" s="89">
        <v>12</v>
      </c>
      <c r="L27" s="89">
        <v>-71.428571428571431</v>
      </c>
      <c r="M27" s="56">
        <f t="shared" si="0"/>
        <v>71.428571428571431</v>
      </c>
      <c r="N27" s="104" t="str" cm="1">
        <f t="array" ref="N27">_xlfn.IFS(J27&gt;=H27,"0",J27&lt;H27,"100")</f>
        <v>0</v>
      </c>
      <c r="O27" s="13" t="s">
        <v>795</v>
      </c>
      <c r="P27" s="14">
        <f t="shared" si="2"/>
        <v>46000</v>
      </c>
      <c r="Q27" s="62">
        <f t="shared" si="3"/>
        <v>30</v>
      </c>
      <c r="R27" s="13" t="s">
        <v>24</v>
      </c>
      <c r="S27" s="13"/>
      <c r="T27" s="17">
        <f t="shared" si="4"/>
        <v>-1.7142857142857142</v>
      </c>
    </row>
    <row r="28" spans="1:20" s="16" customFormat="1" x14ac:dyDescent="0.2">
      <c r="A28" s="13" t="s">
        <v>754</v>
      </c>
      <c r="B28" s="13" t="s">
        <v>749</v>
      </c>
      <c r="C28" s="68" t="s">
        <v>517</v>
      </c>
      <c r="D28" s="14">
        <v>45959</v>
      </c>
      <c r="E28" s="13" t="s">
        <v>727</v>
      </c>
      <c r="F28" s="13" t="s">
        <v>759</v>
      </c>
      <c r="G28" s="68">
        <v>1150</v>
      </c>
      <c r="H28" s="55">
        <v>7</v>
      </c>
      <c r="I28" s="14">
        <v>45971</v>
      </c>
      <c r="J28" s="55">
        <f t="shared" si="1"/>
        <v>12</v>
      </c>
      <c r="K28" s="89">
        <v>12</v>
      </c>
      <c r="L28" s="89">
        <v>-71.428571428571431</v>
      </c>
      <c r="M28" s="56">
        <f t="shared" si="0"/>
        <v>71.428571428571431</v>
      </c>
      <c r="N28" s="104" t="str" cm="1">
        <f t="array" ref="N28">_xlfn.IFS(J28&gt;=H28,"0",J28&lt;H28,"100")</f>
        <v>0</v>
      </c>
      <c r="O28" s="13" t="s">
        <v>796</v>
      </c>
      <c r="P28" s="14">
        <f t="shared" si="2"/>
        <v>46001</v>
      </c>
      <c r="Q28" s="62">
        <f t="shared" si="3"/>
        <v>30</v>
      </c>
      <c r="R28" s="13" t="s">
        <v>24</v>
      </c>
      <c r="S28" s="13"/>
      <c r="T28" s="17">
        <f t="shared" si="4"/>
        <v>-1.7142857142857142</v>
      </c>
    </row>
    <row r="29" spans="1:20" s="16" customFormat="1" x14ac:dyDescent="0.2">
      <c r="A29" s="13" t="s">
        <v>754</v>
      </c>
      <c r="B29" s="13" t="s">
        <v>749</v>
      </c>
      <c r="C29" s="68" t="s">
        <v>518</v>
      </c>
      <c r="D29" s="14">
        <v>45960</v>
      </c>
      <c r="E29" s="13" t="s">
        <v>727</v>
      </c>
      <c r="F29" s="13" t="s">
        <v>759</v>
      </c>
      <c r="G29" s="68">
        <v>7300.23</v>
      </c>
      <c r="H29" s="55">
        <v>7</v>
      </c>
      <c r="I29" s="14">
        <v>45972</v>
      </c>
      <c r="J29" s="55">
        <f t="shared" si="1"/>
        <v>12</v>
      </c>
      <c r="K29" s="89">
        <v>12</v>
      </c>
      <c r="L29" s="89">
        <v>-71.428571428571431</v>
      </c>
      <c r="M29" s="56">
        <f t="shared" si="0"/>
        <v>71.428571428571431</v>
      </c>
      <c r="N29" s="104" t="str" cm="1">
        <f t="array" ref="N29">_xlfn.IFS(J29&gt;=H29,"0",J29&lt;H29,"100")</f>
        <v>0</v>
      </c>
      <c r="O29" s="13" t="s">
        <v>797</v>
      </c>
      <c r="P29" s="14">
        <f t="shared" si="2"/>
        <v>46002</v>
      </c>
      <c r="Q29" s="62">
        <f t="shared" si="3"/>
        <v>30</v>
      </c>
      <c r="R29" s="13" t="s">
        <v>24</v>
      </c>
      <c r="S29" s="13"/>
      <c r="T29" s="17">
        <f t="shared" si="4"/>
        <v>-1.7142857142857142</v>
      </c>
    </row>
    <row r="30" spans="1:20" s="16" customFormat="1" x14ac:dyDescent="0.2">
      <c r="A30" s="13" t="s">
        <v>754</v>
      </c>
      <c r="B30" s="13" t="s">
        <v>749</v>
      </c>
      <c r="C30" s="68" t="s">
        <v>519</v>
      </c>
      <c r="D30" s="14">
        <v>45961</v>
      </c>
      <c r="E30" s="13" t="s">
        <v>727</v>
      </c>
      <c r="F30" s="13" t="s">
        <v>759</v>
      </c>
      <c r="G30" s="68">
        <v>156975</v>
      </c>
      <c r="H30" s="55">
        <v>10</v>
      </c>
      <c r="I30" s="14">
        <v>45970</v>
      </c>
      <c r="J30" s="55">
        <f t="shared" si="1"/>
        <v>9</v>
      </c>
      <c r="K30" s="89">
        <v>9</v>
      </c>
      <c r="L30" s="89">
        <v>-20</v>
      </c>
      <c r="M30" s="56" t="str">
        <f t="shared" si="0"/>
        <v>100</v>
      </c>
      <c r="N30" s="104" t="str" cm="1">
        <f t="array" ref="N30">_xlfn.IFS(J30&gt;=H30,"0",J30&lt;H30,"100")</f>
        <v>100</v>
      </c>
      <c r="O30" s="13" t="s">
        <v>798</v>
      </c>
      <c r="P30" s="14">
        <f t="shared" si="2"/>
        <v>46000</v>
      </c>
      <c r="Q30" s="62">
        <f t="shared" si="3"/>
        <v>30</v>
      </c>
      <c r="R30" s="13" t="s">
        <v>24</v>
      </c>
      <c r="S30" s="13"/>
      <c r="T30" s="17">
        <f t="shared" si="4"/>
        <v>-0.9</v>
      </c>
    </row>
    <row r="31" spans="1:20" s="16" customFormat="1" x14ac:dyDescent="0.2">
      <c r="A31" s="13" t="s">
        <v>754</v>
      </c>
      <c r="B31" s="13" t="s">
        <v>749</v>
      </c>
      <c r="C31" s="68" t="s">
        <v>520</v>
      </c>
      <c r="D31" s="14">
        <v>45933</v>
      </c>
      <c r="E31" s="13" t="s">
        <v>727</v>
      </c>
      <c r="F31" s="13" t="s">
        <v>759</v>
      </c>
      <c r="G31" s="68">
        <v>828</v>
      </c>
      <c r="H31" s="55">
        <v>7</v>
      </c>
      <c r="I31" s="14">
        <v>45940</v>
      </c>
      <c r="J31" s="55">
        <f t="shared" si="1"/>
        <v>7</v>
      </c>
      <c r="K31" s="89">
        <v>7</v>
      </c>
      <c r="L31" s="89">
        <v>-42.857142857142854</v>
      </c>
      <c r="M31" s="56" t="str">
        <f t="shared" si="0"/>
        <v>100</v>
      </c>
      <c r="N31" s="104" t="str" cm="1">
        <f t="array" ref="N31">_xlfn.IFS(J31&gt;=H31,"0",J31&lt;H31,"100")</f>
        <v>0</v>
      </c>
      <c r="O31" s="13" t="s">
        <v>799</v>
      </c>
      <c r="P31" s="14">
        <f t="shared" si="2"/>
        <v>45970</v>
      </c>
      <c r="Q31" s="62">
        <f t="shared" si="3"/>
        <v>30</v>
      </c>
      <c r="R31" s="13" t="s">
        <v>24</v>
      </c>
      <c r="S31" s="13"/>
      <c r="T31" s="17">
        <f t="shared" si="4"/>
        <v>-1</v>
      </c>
    </row>
    <row r="32" spans="1:20" s="16" customFormat="1" x14ac:dyDescent="0.2">
      <c r="A32" s="13" t="s">
        <v>754</v>
      </c>
      <c r="B32" s="13" t="s">
        <v>749</v>
      </c>
      <c r="C32" s="68" t="s">
        <v>521</v>
      </c>
      <c r="D32" s="14">
        <v>45934</v>
      </c>
      <c r="E32" s="13" t="s">
        <v>727</v>
      </c>
      <c r="F32" s="13" t="s">
        <v>759</v>
      </c>
      <c r="G32" s="68">
        <v>4191.75</v>
      </c>
      <c r="H32" s="55">
        <v>7</v>
      </c>
      <c r="I32" s="14">
        <v>45941</v>
      </c>
      <c r="J32" s="55">
        <f t="shared" si="1"/>
        <v>7</v>
      </c>
      <c r="K32" s="89">
        <v>7</v>
      </c>
      <c r="L32" s="89">
        <v>-42.857142857142854</v>
      </c>
      <c r="M32" s="56" t="str">
        <f t="shared" si="0"/>
        <v>100</v>
      </c>
      <c r="N32" s="104" t="str" cm="1">
        <f t="array" ref="N32">_xlfn.IFS(J32&gt;=H32,"0",J32&lt;H32,"100")</f>
        <v>0</v>
      </c>
      <c r="O32" s="13" t="s">
        <v>800</v>
      </c>
      <c r="P32" s="14">
        <f t="shared" si="2"/>
        <v>45971</v>
      </c>
      <c r="Q32" s="62">
        <f t="shared" si="3"/>
        <v>30</v>
      </c>
      <c r="R32" s="13" t="s">
        <v>24</v>
      </c>
      <c r="S32" s="13"/>
      <c r="T32" s="17">
        <f t="shared" si="4"/>
        <v>-1</v>
      </c>
    </row>
    <row r="33" spans="1:20" s="16" customFormat="1" x14ac:dyDescent="0.2">
      <c r="A33" s="13" t="s">
        <v>750</v>
      </c>
      <c r="B33" s="13" t="s">
        <v>481</v>
      </c>
      <c r="C33" s="68" t="s">
        <v>522</v>
      </c>
      <c r="D33" s="14">
        <v>45935</v>
      </c>
      <c r="E33" s="13" t="s">
        <v>767</v>
      </c>
      <c r="F33" s="13" t="s">
        <v>766</v>
      </c>
      <c r="G33" s="77">
        <v>2265.5</v>
      </c>
      <c r="H33" s="57">
        <v>7</v>
      </c>
      <c r="I33" s="14">
        <v>45942</v>
      </c>
      <c r="J33" s="55">
        <f t="shared" si="1"/>
        <v>7</v>
      </c>
      <c r="K33" s="89">
        <v>7</v>
      </c>
      <c r="L33" s="91">
        <v>-42.857142857142854</v>
      </c>
      <c r="M33" s="56" t="str">
        <f t="shared" si="0"/>
        <v>100</v>
      </c>
      <c r="N33" s="104" t="str" cm="1">
        <f t="array" ref="N33">_xlfn.IFS(J33&gt;=H33,"0",J33&lt;H33,"100")</f>
        <v>0</v>
      </c>
      <c r="O33" s="13" t="s">
        <v>801</v>
      </c>
      <c r="P33" s="14">
        <f t="shared" si="2"/>
        <v>45972</v>
      </c>
      <c r="Q33" s="62">
        <f t="shared" si="3"/>
        <v>30</v>
      </c>
      <c r="R33" s="13" t="s">
        <v>24</v>
      </c>
      <c r="S33" s="13"/>
      <c r="T33" s="17">
        <f t="shared" si="4"/>
        <v>-1</v>
      </c>
    </row>
    <row r="34" spans="1:20" s="16" customFormat="1" x14ac:dyDescent="0.2">
      <c r="A34" s="13" t="s">
        <v>754</v>
      </c>
      <c r="B34" s="13" t="s">
        <v>749</v>
      </c>
      <c r="C34" s="68" t="s">
        <v>523</v>
      </c>
      <c r="D34" s="14">
        <v>45936</v>
      </c>
      <c r="E34" s="13" t="s">
        <v>727</v>
      </c>
      <c r="F34" s="13" t="s">
        <v>759</v>
      </c>
      <c r="G34" s="68">
        <v>96600</v>
      </c>
      <c r="H34" s="55">
        <v>7</v>
      </c>
      <c r="I34" s="14">
        <v>45943</v>
      </c>
      <c r="J34" s="55">
        <f t="shared" si="1"/>
        <v>7</v>
      </c>
      <c r="K34" s="89">
        <v>7</v>
      </c>
      <c r="L34" s="91">
        <v>-42.857142857142854</v>
      </c>
      <c r="M34" s="56" t="str">
        <f t="shared" si="0"/>
        <v>100</v>
      </c>
      <c r="N34" s="104" t="str" cm="1">
        <f t="array" ref="N34">_xlfn.IFS(J34&gt;=H34,"0",J34&lt;H34,"100")</f>
        <v>0</v>
      </c>
      <c r="O34" s="13" t="s">
        <v>802</v>
      </c>
      <c r="P34" s="14">
        <f t="shared" si="2"/>
        <v>45973</v>
      </c>
      <c r="Q34" s="62">
        <f t="shared" si="3"/>
        <v>30</v>
      </c>
      <c r="R34" s="13" t="s">
        <v>24</v>
      </c>
      <c r="S34" s="13"/>
      <c r="T34" s="17">
        <f t="shared" si="4"/>
        <v>-1</v>
      </c>
    </row>
    <row r="35" spans="1:20" s="16" customFormat="1" x14ac:dyDescent="0.2">
      <c r="A35" s="13" t="s">
        <v>754</v>
      </c>
      <c r="B35" s="13" t="s">
        <v>749</v>
      </c>
      <c r="C35" s="68" t="s">
        <v>524</v>
      </c>
      <c r="D35" s="14">
        <v>45937</v>
      </c>
      <c r="E35" s="13" t="s">
        <v>727</v>
      </c>
      <c r="F35" s="13" t="s">
        <v>759</v>
      </c>
      <c r="G35" s="68">
        <v>150000</v>
      </c>
      <c r="H35" s="55">
        <v>15</v>
      </c>
      <c r="I35" s="14">
        <v>45947</v>
      </c>
      <c r="J35" s="55">
        <f t="shared" si="1"/>
        <v>10</v>
      </c>
      <c r="K35" s="89">
        <v>10</v>
      </c>
      <c r="L35" s="91" t="s">
        <v>732</v>
      </c>
      <c r="M35" s="56" t="str">
        <f t="shared" si="0"/>
        <v>100</v>
      </c>
      <c r="N35" s="104" t="str" cm="1">
        <f t="array" ref="N35">_xlfn.IFS(J35&gt;=H35,"0",J35&lt;H35,"100")</f>
        <v>100</v>
      </c>
      <c r="O35" s="13" t="s">
        <v>803</v>
      </c>
      <c r="P35" s="14">
        <f t="shared" si="2"/>
        <v>45977</v>
      </c>
      <c r="Q35" s="62">
        <f t="shared" si="3"/>
        <v>30</v>
      </c>
      <c r="R35" s="13" t="s">
        <v>24</v>
      </c>
      <c r="S35" s="13"/>
      <c r="T35" s="17">
        <f t="shared" si="4"/>
        <v>-0.66666666666666663</v>
      </c>
    </row>
    <row r="36" spans="1:20" s="16" customFormat="1" x14ac:dyDescent="0.2">
      <c r="A36" s="13" t="s">
        <v>751</v>
      </c>
      <c r="B36" s="13" t="s">
        <v>480</v>
      </c>
      <c r="C36" s="68" t="s">
        <v>525</v>
      </c>
      <c r="D36" s="14">
        <v>45938</v>
      </c>
      <c r="E36" s="13" t="s">
        <v>764</v>
      </c>
      <c r="F36" s="13" t="s">
        <v>759</v>
      </c>
      <c r="G36" s="68">
        <v>17400</v>
      </c>
      <c r="H36" s="58">
        <v>7</v>
      </c>
      <c r="I36" s="14">
        <v>45948</v>
      </c>
      <c r="J36" s="55">
        <f t="shared" si="1"/>
        <v>10</v>
      </c>
      <c r="K36" s="89">
        <v>10</v>
      </c>
      <c r="L36" s="89">
        <v>-42.857142857142854</v>
      </c>
      <c r="M36" s="56">
        <f t="shared" si="0"/>
        <v>42.857142857142854</v>
      </c>
      <c r="N36" s="104" t="str" cm="1">
        <f t="array" ref="N36">_xlfn.IFS(J36&gt;=H36,"0",J36&lt;H36,"100")</f>
        <v>0</v>
      </c>
      <c r="O36" s="13" t="s">
        <v>804</v>
      </c>
      <c r="P36" s="14">
        <f t="shared" si="2"/>
        <v>45978</v>
      </c>
      <c r="Q36" s="62">
        <f t="shared" si="3"/>
        <v>30</v>
      </c>
      <c r="R36" s="13" t="s">
        <v>24</v>
      </c>
      <c r="S36" s="13"/>
      <c r="T36" s="17">
        <f t="shared" si="4"/>
        <v>-1.4285714285714286</v>
      </c>
    </row>
    <row r="37" spans="1:20" s="16" customFormat="1" x14ac:dyDescent="0.2">
      <c r="A37" s="13" t="s">
        <v>754</v>
      </c>
      <c r="B37" s="13" t="s">
        <v>749</v>
      </c>
      <c r="C37" s="68" t="s">
        <v>526</v>
      </c>
      <c r="D37" s="14">
        <v>45939</v>
      </c>
      <c r="E37" s="13" t="s">
        <v>728</v>
      </c>
      <c r="F37" s="13" t="s">
        <v>759</v>
      </c>
      <c r="G37" s="68">
        <v>266907.78000000003</v>
      </c>
      <c r="H37" s="55">
        <v>15</v>
      </c>
      <c r="I37" s="14">
        <v>45949</v>
      </c>
      <c r="J37" s="55">
        <f t="shared" si="1"/>
        <v>10</v>
      </c>
      <c r="K37" s="89">
        <v>10</v>
      </c>
      <c r="L37" s="89" t="s">
        <v>732</v>
      </c>
      <c r="M37" s="56" t="str">
        <f t="shared" si="0"/>
        <v>100</v>
      </c>
      <c r="N37" s="104" t="str" cm="1">
        <f t="array" ref="N37">_xlfn.IFS(J37&gt;=H37,"0",J37&lt;H37,"100")</f>
        <v>100</v>
      </c>
      <c r="O37" s="13" t="s">
        <v>805</v>
      </c>
      <c r="P37" s="14">
        <f t="shared" si="2"/>
        <v>45979</v>
      </c>
      <c r="Q37" s="62">
        <f t="shared" si="3"/>
        <v>30</v>
      </c>
      <c r="R37" s="13" t="s">
        <v>24</v>
      </c>
      <c r="S37" s="13"/>
      <c r="T37" s="17">
        <f t="shared" si="4"/>
        <v>-0.66666666666666663</v>
      </c>
    </row>
    <row r="38" spans="1:20" s="16" customFormat="1" x14ac:dyDescent="0.2">
      <c r="A38" s="13" t="s">
        <v>754</v>
      </c>
      <c r="B38" s="13" t="s">
        <v>749</v>
      </c>
      <c r="C38" s="68" t="s">
        <v>527</v>
      </c>
      <c r="D38" s="14">
        <v>45940</v>
      </c>
      <c r="E38" s="13" t="s">
        <v>728</v>
      </c>
      <c r="F38" s="13" t="s">
        <v>759</v>
      </c>
      <c r="G38" s="68">
        <v>279475.88</v>
      </c>
      <c r="H38" s="55">
        <v>15</v>
      </c>
      <c r="I38" s="14">
        <v>45950</v>
      </c>
      <c r="J38" s="55">
        <f t="shared" si="1"/>
        <v>10</v>
      </c>
      <c r="K38" s="89">
        <v>10</v>
      </c>
      <c r="L38" s="89" t="s">
        <v>732</v>
      </c>
      <c r="M38" s="56" t="str">
        <f t="shared" si="0"/>
        <v>100</v>
      </c>
      <c r="N38" s="104" t="str" cm="1">
        <f t="array" ref="N38">_xlfn.IFS(J38&gt;=H38,"0",J38&lt;H38,"100")</f>
        <v>100</v>
      </c>
      <c r="O38" s="13" t="s">
        <v>806</v>
      </c>
      <c r="P38" s="14">
        <f t="shared" si="2"/>
        <v>45980</v>
      </c>
      <c r="Q38" s="62">
        <f t="shared" si="3"/>
        <v>30</v>
      </c>
      <c r="R38" s="13" t="s">
        <v>24</v>
      </c>
      <c r="S38" s="13"/>
      <c r="T38" s="17">
        <f t="shared" si="4"/>
        <v>-0.66666666666666663</v>
      </c>
    </row>
    <row r="39" spans="1:20" s="16" customFormat="1" x14ac:dyDescent="0.2">
      <c r="A39" s="13" t="s">
        <v>754</v>
      </c>
      <c r="B39" s="13" t="s">
        <v>749</v>
      </c>
      <c r="C39" s="68" t="s">
        <v>528</v>
      </c>
      <c r="D39" s="14">
        <v>45941</v>
      </c>
      <c r="E39" s="13" t="s">
        <v>728</v>
      </c>
      <c r="F39" s="13" t="s">
        <v>760</v>
      </c>
      <c r="G39" s="68">
        <v>275586</v>
      </c>
      <c r="H39" s="55">
        <v>15</v>
      </c>
      <c r="I39" s="14">
        <v>45951</v>
      </c>
      <c r="J39" s="55">
        <f t="shared" si="1"/>
        <v>10</v>
      </c>
      <c r="K39" s="89">
        <v>10</v>
      </c>
      <c r="L39" s="89" t="s">
        <v>732</v>
      </c>
      <c r="M39" s="56" t="str">
        <f t="shared" si="0"/>
        <v>100</v>
      </c>
      <c r="N39" s="104" t="str" cm="1">
        <f t="array" ref="N39">_xlfn.IFS(J39&gt;=H39,"0",J39&lt;H39,"100")</f>
        <v>100</v>
      </c>
      <c r="O39" s="13" t="s">
        <v>807</v>
      </c>
      <c r="P39" s="14">
        <f t="shared" si="2"/>
        <v>45981</v>
      </c>
      <c r="Q39" s="62">
        <f t="shared" si="3"/>
        <v>30</v>
      </c>
      <c r="R39" s="13" t="s">
        <v>24</v>
      </c>
      <c r="S39" s="13"/>
      <c r="T39" s="17">
        <f t="shared" si="4"/>
        <v>-0.66666666666666663</v>
      </c>
    </row>
    <row r="40" spans="1:20" s="16" customFormat="1" x14ac:dyDescent="0.2">
      <c r="A40" s="13" t="s">
        <v>754</v>
      </c>
      <c r="B40" s="13" t="s">
        <v>749</v>
      </c>
      <c r="C40" s="68" t="s">
        <v>529</v>
      </c>
      <c r="D40" s="14">
        <v>45942</v>
      </c>
      <c r="E40" s="13" t="s">
        <v>728</v>
      </c>
      <c r="F40" s="13" t="s">
        <v>760</v>
      </c>
      <c r="G40" s="68">
        <v>26277.5</v>
      </c>
      <c r="H40" s="55">
        <v>7</v>
      </c>
      <c r="I40" s="14">
        <v>45948</v>
      </c>
      <c r="J40" s="55">
        <f>IF(ISBLANK(I40),"",I40-D40)</f>
        <v>6</v>
      </c>
      <c r="K40" s="89">
        <v>6</v>
      </c>
      <c r="L40" s="89">
        <v>-42.857142857142854</v>
      </c>
      <c r="M40" s="56" t="str">
        <f t="shared" si="0"/>
        <v>100</v>
      </c>
      <c r="N40" s="104" t="str" cm="1">
        <f t="array" ref="N40">_xlfn.IFS(J40&gt;=H40,"0",J40&lt;H40,"100")</f>
        <v>100</v>
      </c>
      <c r="O40" s="13" t="s">
        <v>808</v>
      </c>
      <c r="P40" s="14">
        <f t="shared" si="2"/>
        <v>45978</v>
      </c>
      <c r="Q40" s="62">
        <f t="shared" si="3"/>
        <v>30</v>
      </c>
      <c r="R40" s="13" t="s">
        <v>24</v>
      </c>
      <c r="S40" s="13"/>
      <c r="T40" s="17">
        <f t="shared" si="4"/>
        <v>-0.8571428571428571</v>
      </c>
    </row>
    <row r="41" spans="1:20" s="16" customFormat="1" x14ac:dyDescent="0.2">
      <c r="A41" s="13" t="s">
        <v>754</v>
      </c>
      <c r="B41" s="13" t="s">
        <v>749</v>
      </c>
      <c r="C41" s="68" t="s">
        <v>530</v>
      </c>
      <c r="D41" s="14">
        <v>45943</v>
      </c>
      <c r="E41" s="13" t="s">
        <v>728</v>
      </c>
      <c r="F41" s="13" t="s">
        <v>760</v>
      </c>
      <c r="G41" s="68">
        <v>23287.5</v>
      </c>
      <c r="H41" s="55">
        <v>7</v>
      </c>
      <c r="I41" s="14">
        <v>45949</v>
      </c>
      <c r="J41" s="55">
        <f t="shared" si="1"/>
        <v>6</v>
      </c>
      <c r="K41" s="89">
        <v>6</v>
      </c>
      <c r="L41" s="89">
        <v>-42.857142857142854</v>
      </c>
      <c r="M41" s="56" t="str">
        <f t="shared" si="0"/>
        <v>100</v>
      </c>
      <c r="N41" s="104" t="str" cm="1">
        <f t="array" ref="N41">_xlfn.IFS(J41&gt;=H41,"0",J41&lt;H41,"100")</f>
        <v>100</v>
      </c>
      <c r="O41" s="13" t="s">
        <v>809</v>
      </c>
      <c r="P41" s="14">
        <f t="shared" si="2"/>
        <v>45979</v>
      </c>
      <c r="Q41" s="62">
        <f t="shared" si="3"/>
        <v>30</v>
      </c>
      <c r="R41" s="13" t="s">
        <v>24</v>
      </c>
      <c r="S41" s="13"/>
      <c r="T41" s="17">
        <f t="shared" si="4"/>
        <v>-0.8571428571428571</v>
      </c>
    </row>
    <row r="42" spans="1:20" s="16" customFormat="1" x14ac:dyDescent="0.2">
      <c r="A42" s="13" t="s">
        <v>754</v>
      </c>
      <c r="B42" s="13" t="s">
        <v>749</v>
      </c>
      <c r="C42" s="68" t="s">
        <v>531</v>
      </c>
      <c r="D42" s="14">
        <v>45944</v>
      </c>
      <c r="E42" s="13" t="s">
        <v>728</v>
      </c>
      <c r="F42" s="13" t="s">
        <v>760</v>
      </c>
      <c r="G42" s="68">
        <v>21677.5</v>
      </c>
      <c r="H42" s="55">
        <v>7</v>
      </c>
      <c r="I42" s="14">
        <v>45950</v>
      </c>
      <c r="J42" s="55">
        <f t="shared" si="1"/>
        <v>6</v>
      </c>
      <c r="K42" s="89">
        <v>6</v>
      </c>
      <c r="L42" s="89">
        <v>-42.857142857142854</v>
      </c>
      <c r="M42" s="56" t="str">
        <f t="shared" si="0"/>
        <v>100</v>
      </c>
      <c r="N42" s="104" t="str" cm="1">
        <f t="array" ref="N42">_xlfn.IFS(J42&gt;=H42,"0",J42&lt;H42,"100")</f>
        <v>100</v>
      </c>
      <c r="O42" s="13" t="s">
        <v>810</v>
      </c>
      <c r="P42" s="14">
        <f t="shared" si="2"/>
        <v>45980</v>
      </c>
      <c r="Q42" s="62">
        <f t="shared" si="3"/>
        <v>30</v>
      </c>
      <c r="R42" s="13" t="s">
        <v>24</v>
      </c>
      <c r="S42" s="13"/>
      <c r="T42" s="17">
        <f t="shared" si="4"/>
        <v>-0.8571428571428571</v>
      </c>
    </row>
    <row r="43" spans="1:20" s="16" customFormat="1" x14ac:dyDescent="0.2">
      <c r="A43" s="13" t="s">
        <v>751</v>
      </c>
      <c r="B43" s="13" t="s">
        <v>480</v>
      </c>
      <c r="C43" s="68" t="s">
        <v>532</v>
      </c>
      <c r="D43" s="14">
        <v>45945</v>
      </c>
      <c r="E43" s="13" t="s">
        <v>764</v>
      </c>
      <c r="F43" s="13" t="s">
        <v>759</v>
      </c>
      <c r="G43" s="68">
        <v>1200</v>
      </c>
      <c r="H43" s="55">
        <v>7</v>
      </c>
      <c r="I43" s="14">
        <v>45951</v>
      </c>
      <c r="J43" s="55">
        <f t="shared" si="1"/>
        <v>6</v>
      </c>
      <c r="K43" s="89">
        <v>6</v>
      </c>
      <c r="L43" s="91">
        <v>-42.857142857142854</v>
      </c>
      <c r="M43" s="56" t="str">
        <f t="shared" si="0"/>
        <v>100</v>
      </c>
      <c r="N43" s="104" t="str" cm="1">
        <f t="array" ref="N43">_xlfn.IFS(J43&gt;=H43,"0",J43&lt;H43,"100")</f>
        <v>100</v>
      </c>
      <c r="O43" s="13" t="s">
        <v>811</v>
      </c>
      <c r="P43" s="14">
        <f>I43+30</f>
        <v>45981</v>
      </c>
      <c r="Q43" s="62">
        <f t="shared" si="3"/>
        <v>30</v>
      </c>
      <c r="R43" s="13" t="s">
        <v>24</v>
      </c>
      <c r="S43" s="13"/>
      <c r="T43" s="17">
        <f t="shared" si="4"/>
        <v>-0.8571428571428571</v>
      </c>
    </row>
    <row r="44" spans="1:20" s="16" customFormat="1" x14ac:dyDescent="0.2">
      <c r="A44" s="13" t="s">
        <v>751</v>
      </c>
      <c r="B44" s="13" t="s">
        <v>480</v>
      </c>
      <c r="C44" s="68" t="s">
        <v>533</v>
      </c>
      <c r="D44" s="14">
        <v>45946</v>
      </c>
      <c r="E44" s="13" t="s">
        <v>764</v>
      </c>
      <c r="F44" s="13" t="s">
        <v>759</v>
      </c>
      <c r="G44" s="68">
        <v>828</v>
      </c>
      <c r="H44" s="55">
        <v>7</v>
      </c>
      <c r="I44" s="14">
        <v>45952</v>
      </c>
      <c r="J44" s="55">
        <f t="shared" si="1"/>
        <v>6</v>
      </c>
      <c r="K44" s="89">
        <v>6</v>
      </c>
      <c r="L44" s="91">
        <v>-42.857142857142854</v>
      </c>
      <c r="M44" s="56" t="str">
        <f t="shared" si="0"/>
        <v>100</v>
      </c>
      <c r="N44" s="104" t="str" cm="1">
        <f t="array" ref="N44">_xlfn.IFS(J44&gt;=H44,"0",J44&lt;H44,"100")</f>
        <v>100</v>
      </c>
      <c r="O44" s="13" t="s">
        <v>812</v>
      </c>
      <c r="P44" s="14">
        <f t="shared" si="2"/>
        <v>45982</v>
      </c>
      <c r="Q44" s="62">
        <f t="shared" si="3"/>
        <v>30</v>
      </c>
      <c r="R44" s="13" t="s">
        <v>24</v>
      </c>
      <c r="S44" s="13"/>
      <c r="T44" s="17">
        <f t="shared" si="4"/>
        <v>-0.8571428571428571</v>
      </c>
    </row>
    <row r="45" spans="1:20" s="16" customFormat="1" x14ac:dyDescent="0.2">
      <c r="A45" s="13" t="s">
        <v>751</v>
      </c>
      <c r="B45" s="13" t="s">
        <v>480</v>
      </c>
      <c r="C45" s="68" t="s">
        <v>534</v>
      </c>
      <c r="D45" s="14">
        <v>45947</v>
      </c>
      <c r="E45" s="13" t="s">
        <v>764</v>
      </c>
      <c r="F45" s="13" t="s">
        <v>759</v>
      </c>
      <c r="G45" s="68">
        <v>1720</v>
      </c>
      <c r="H45" s="55">
        <v>7</v>
      </c>
      <c r="I45" s="14">
        <v>45953</v>
      </c>
      <c r="J45" s="55">
        <f t="shared" si="1"/>
        <v>6</v>
      </c>
      <c r="K45" s="89">
        <v>6</v>
      </c>
      <c r="L45" s="91">
        <v>-42.857142857142854</v>
      </c>
      <c r="M45" s="56" t="str">
        <f t="shared" si="0"/>
        <v>100</v>
      </c>
      <c r="N45" s="104" t="str" cm="1">
        <f t="array" ref="N45">_xlfn.IFS(J45&gt;=H45,"0",J45&lt;H45,"100")</f>
        <v>100</v>
      </c>
      <c r="O45" s="13" t="s">
        <v>813</v>
      </c>
      <c r="P45" s="14">
        <f t="shared" si="2"/>
        <v>45983</v>
      </c>
      <c r="Q45" s="62">
        <f t="shared" si="3"/>
        <v>30</v>
      </c>
      <c r="R45" s="13" t="s">
        <v>24</v>
      </c>
      <c r="S45" s="13"/>
      <c r="T45" s="17">
        <f t="shared" si="4"/>
        <v>-0.8571428571428571</v>
      </c>
    </row>
    <row r="46" spans="1:20" s="16" customFormat="1" x14ac:dyDescent="0.2">
      <c r="A46" s="13" t="s">
        <v>751</v>
      </c>
      <c r="B46" s="13" t="s">
        <v>480</v>
      </c>
      <c r="C46" s="68" t="s">
        <v>535</v>
      </c>
      <c r="D46" s="14">
        <v>45948</v>
      </c>
      <c r="E46" s="13" t="s">
        <v>764</v>
      </c>
      <c r="F46" s="13" t="s">
        <v>759</v>
      </c>
      <c r="G46" s="68">
        <v>632</v>
      </c>
      <c r="H46" s="55">
        <v>7</v>
      </c>
      <c r="I46" s="14">
        <v>45954</v>
      </c>
      <c r="J46" s="55">
        <f t="shared" si="1"/>
        <v>6</v>
      </c>
      <c r="K46" s="89">
        <v>6</v>
      </c>
      <c r="L46" s="89">
        <v>-42.857142857142854</v>
      </c>
      <c r="M46" s="56" t="str">
        <f t="shared" si="0"/>
        <v>100</v>
      </c>
      <c r="N46" s="104" t="str" cm="1">
        <f t="array" ref="N46">_xlfn.IFS(J46&gt;=H46,"0",J46&lt;H46,"100")</f>
        <v>100</v>
      </c>
      <c r="O46" s="13" t="s">
        <v>814</v>
      </c>
      <c r="P46" s="14">
        <f t="shared" si="2"/>
        <v>45984</v>
      </c>
      <c r="Q46" s="62">
        <f t="shared" si="3"/>
        <v>30</v>
      </c>
      <c r="R46" s="13" t="s">
        <v>24</v>
      </c>
      <c r="S46" s="13"/>
      <c r="T46" s="17">
        <f t="shared" si="4"/>
        <v>-0.8571428571428571</v>
      </c>
    </row>
    <row r="47" spans="1:20" s="16" customFormat="1" x14ac:dyDescent="0.2">
      <c r="A47" s="13" t="s">
        <v>751</v>
      </c>
      <c r="B47" s="13" t="s">
        <v>480</v>
      </c>
      <c r="C47" s="68" t="s">
        <v>536</v>
      </c>
      <c r="D47" s="14">
        <v>45949</v>
      </c>
      <c r="E47" s="13" t="s">
        <v>764</v>
      </c>
      <c r="F47" s="13" t="s">
        <v>759</v>
      </c>
      <c r="G47" s="68">
        <v>280</v>
      </c>
      <c r="H47" s="55">
        <v>7</v>
      </c>
      <c r="I47" s="14">
        <v>45955</v>
      </c>
      <c r="J47" s="55">
        <f t="shared" si="1"/>
        <v>6</v>
      </c>
      <c r="K47" s="89">
        <v>6</v>
      </c>
      <c r="L47" s="91">
        <v>-42.857142857142854</v>
      </c>
      <c r="M47" s="56" t="str">
        <f t="shared" si="0"/>
        <v>100</v>
      </c>
      <c r="N47" s="104" t="str" cm="1">
        <f t="array" ref="N47">_xlfn.IFS(J47&gt;=H47,"0",J47&lt;H47,"100")</f>
        <v>100</v>
      </c>
      <c r="O47" s="13" t="s">
        <v>815</v>
      </c>
      <c r="P47" s="14">
        <f t="shared" si="2"/>
        <v>45985</v>
      </c>
      <c r="Q47" s="62">
        <f t="shared" si="3"/>
        <v>30</v>
      </c>
      <c r="R47" s="13" t="s">
        <v>24</v>
      </c>
      <c r="S47" s="13"/>
      <c r="T47" s="17">
        <f t="shared" si="4"/>
        <v>-0.8571428571428571</v>
      </c>
    </row>
    <row r="48" spans="1:20" s="16" customFormat="1" x14ac:dyDescent="0.2">
      <c r="A48" s="13" t="s">
        <v>751</v>
      </c>
      <c r="B48" s="13" t="s">
        <v>480</v>
      </c>
      <c r="C48" s="68" t="s">
        <v>537</v>
      </c>
      <c r="D48" s="14">
        <v>45950</v>
      </c>
      <c r="E48" s="13" t="s">
        <v>764</v>
      </c>
      <c r="F48" s="13" t="s">
        <v>759</v>
      </c>
      <c r="G48" s="68">
        <v>191</v>
      </c>
      <c r="H48" s="55">
        <v>7</v>
      </c>
      <c r="I48" s="14">
        <v>45956</v>
      </c>
      <c r="J48" s="55">
        <f t="shared" si="1"/>
        <v>6</v>
      </c>
      <c r="K48" s="89">
        <v>6</v>
      </c>
      <c r="L48" s="91">
        <v>-42.857142857142854</v>
      </c>
      <c r="M48" s="56" t="str">
        <f t="shared" si="0"/>
        <v>100</v>
      </c>
      <c r="N48" s="104" t="str" cm="1">
        <f t="array" ref="N48">_xlfn.IFS(J48&gt;=H48,"0",J48&lt;H48,"100")</f>
        <v>100</v>
      </c>
      <c r="O48" s="13" t="s">
        <v>816</v>
      </c>
      <c r="P48" s="14">
        <f t="shared" si="2"/>
        <v>45986</v>
      </c>
      <c r="Q48" s="62">
        <f t="shared" si="3"/>
        <v>30</v>
      </c>
      <c r="R48" s="13" t="s">
        <v>24</v>
      </c>
      <c r="S48" s="13"/>
      <c r="T48" s="17">
        <f t="shared" si="4"/>
        <v>-0.8571428571428571</v>
      </c>
    </row>
    <row r="49" spans="1:20" s="16" customFormat="1" x14ac:dyDescent="0.2">
      <c r="A49" s="13" t="s">
        <v>752</v>
      </c>
      <c r="B49" s="13" t="s">
        <v>480</v>
      </c>
      <c r="C49" s="68" t="s">
        <v>538</v>
      </c>
      <c r="D49" s="14">
        <v>45951</v>
      </c>
      <c r="E49" s="13" t="s">
        <v>764</v>
      </c>
      <c r="F49" s="13" t="s">
        <v>759</v>
      </c>
      <c r="G49" s="68">
        <v>150</v>
      </c>
      <c r="H49" s="55">
        <v>7</v>
      </c>
      <c r="I49" s="14">
        <v>45957</v>
      </c>
      <c r="J49" s="55">
        <f t="shared" si="1"/>
        <v>6</v>
      </c>
      <c r="K49" s="89">
        <v>6</v>
      </c>
      <c r="L49" s="91">
        <v>-42.857142857142854</v>
      </c>
      <c r="M49" s="56" t="str">
        <f t="shared" si="0"/>
        <v>100</v>
      </c>
      <c r="N49" s="104" t="str" cm="1">
        <f t="array" ref="N49">_xlfn.IFS(J49&gt;=H49,"0",J49&lt;H49,"100")</f>
        <v>100</v>
      </c>
      <c r="O49" s="13" t="s">
        <v>817</v>
      </c>
      <c r="P49" s="14">
        <f t="shared" si="2"/>
        <v>45987</v>
      </c>
      <c r="Q49" s="62">
        <f t="shared" si="3"/>
        <v>30</v>
      </c>
      <c r="R49" s="13" t="s">
        <v>24</v>
      </c>
      <c r="S49" s="13"/>
      <c r="T49" s="17">
        <f t="shared" si="4"/>
        <v>-0.8571428571428571</v>
      </c>
    </row>
    <row r="50" spans="1:20" s="16" customFormat="1" x14ac:dyDescent="0.2">
      <c r="A50" s="13" t="s">
        <v>754</v>
      </c>
      <c r="B50" s="13" t="s">
        <v>749</v>
      </c>
      <c r="C50" s="68" t="s">
        <v>539</v>
      </c>
      <c r="D50" s="14">
        <v>45952</v>
      </c>
      <c r="E50" s="13" t="s">
        <v>728</v>
      </c>
      <c r="F50" s="13" t="s">
        <v>760</v>
      </c>
      <c r="G50" s="68">
        <v>9297.75</v>
      </c>
      <c r="H50" s="55">
        <v>7</v>
      </c>
      <c r="I50" s="14">
        <v>45953</v>
      </c>
      <c r="J50" s="55">
        <f t="shared" si="1"/>
        <v>1</v>
      </c>
      <c r="K50" s="89">
        <v>1</v>
      </c>
      <c r="L50" s="91" t="s">
        <v>732</v>
      </c>
      <c r="M50" s="56" t="str">
        <f t="shared" si="0"/>
        <v>100</v>
      </c>
      <c r="N50" s="104" t="str" cm="1">
        <f t="array" ref="N50">_xlfn.IFS(J50&gt;=H50,"0",J50&lt;H50,"100")</f>
        <v>100</v>
      </c>
      <c r="O50" s="13" t="s">
        <v>818</v>
      </c>
      <c r="P50" s="14">
        <f t="shared" si="2"/>
        <v>45983</v>
      </c>
      <c r="Q50" s="62">
        <f t="shared" si="3"/>
        <v>30</v>
      </c>
      <c r="R50" s="13" t="s">
        <v>24</v>
      </c>
      <c r="S50" s="13"/>
      <c r="T50" s="17">
        <f t="shared" si="4"/>
        <v>-0.14285714285714285</v>
      </c>
    </row>
    <row r="51" spans="1:20" s="16" customFormat="1" x14ac:dyDescent="0.2">
      <c r="A51" s="13" t="s">
        <v>754</v>
      </c>
      <c r="B51" s="13" t="s">
        <v>749</v>
      </c>
      <c r="C51" s="68" t="s">
        <v>540</v>
      </c>
      <c r="D51" s="14">
        <v>45953</v>
      </c>
      <c r="E51" s="13" t="s">
        <v>728</v>
      </c>
      <c r="F51" s="13" t="s">
        <v>760</v>
      </c>
      <c r="G51" s="68">
        <v>22770</v>
      </c>
      <c r="H51" s="55">
        <v>7</v>
      </c>
      <c r="I51" s="14">
        <v>45954</v>
      </c>
      <c r="J51" s="55">
        <f t="shared" si="1"/>
        <v>1</v>
      </c>
      <c r="K51" s="89">
        <v>1</v>
      </c>
      <c r="L51" s="91" t="s">
        <v>732</v>
      </c>
      <c r="M51" s="56" t="str">
        <f t="shared" si="0"/>
        <v>100</v>
      </c>
      <c r="N51" s="104" t="str" cm="1">
        <f t="array" ref="N51">_xlfn.IFS(J51&gt;=H51,"0",J51&lt;H51,"100")</f>
        <v>100</v>
      </c>
      <c r="O51" s="13" t="s">
        <v>819</v>
      </c>
      <c r="P51" s="14">
        <f t="shared" si="2"/>
        <v>45984</v>
      </c>
      <c r="Q51" s="62">
        <f t="shared" si="3"/>
        <v>30</v>
      </c>
      <c r="R51" s="13" t="s">
        <v>24</v>
      </c>
      <c r="S51" s="13"/>
      <c r="T51" s="17">
        <f t="shared" si="4"/>
        <v>-0.14285714285714285</v>
      </c>
    </row>
    <row r="52" spans="1:20" s="16" customFormat="1" x14ac:dyDescent="0.2">
      <c r="A52" s="13" t="s">
        <v>754</v>
      </c>
      <c r="B52" s="13" t="s">
        <v>749</v>
      </c>
      <c r="C52" s="68" t="s">
        <v>541</v>
      </c>
      <c r="D52" s="14">
        <v>45954</v>
      </c>
      <c r="E52" s="13" t="s">
        <v>728</v>
      </c>
      <c r="F52" s="13" t="s">
        <v>760</v>
      </c>
      <c r="G52" s="68">
        <v>28799.96</v>
      </c>
      <c r="H52" s="55">
        <v>7</v>
      </c>
      <c r="I52" s="14">
        <v>45955</v>
      </c>
      <c r="J52" s="55">
        <f t="shared" si="1"/>
        <v>1</v>
      </c>
      <c r="K52" s="89">
        <v>1</v>
      </c>
      <c r="L52" s="91" t="s">
        <v>732</v>
      </c>
      <c r="M52" s="56" t="str">
        <f t="shared" si="0"/>
        <v>100</v>
      </c>
      <c r="N52" s="104" t="str" cm="1">
        <f t="array" ref="N52">_xlfn.IFS(J52&gt;=H52,"0",J52&lt;H52,"100")</f>
        <v>100</v>
      </c>
      <c r="O52" s="13" t="s">
        <v>820</v>
      </c>
      <c r="P52" s="14">
        <f t="shared" si="2"/>
        <v>45985</v>
      </c>
      <c r="Q52" s="62">
        <f t="shared" si="3"/>
        <v>30</v>
      </c>
      <c r="R52" s="13" t="s">
        <v>24</v>
      </c>
      <c r="S52" s="13"/>
      <c r="T52" s="17">
        <f t="shared" si="4"/>
        <v>-0.14285714285714285</v>
      </c>
    </row>
    <row r="53" spans="1:20" s="16" customFormat="1" x14ac:dyDescent="0.2">
      <c r="A53" s="13" t="s">
        <v>754</v>
      </c>
      <c r="B53" s="13" t="s">
        <v>749</v>
      </c>
      <c r="C53" s="68" t="s">
        <v>542</v>
      </c>
      <c r="D53" s="14">
        <v>45955</v>
      </c>
      <c r="E53" s="13" t="s">
        <v>728</v>
      </c>
      <c r="F53" s="13" t="s">
        <v>760</v>
      </c>
      <c r="G53" s="68">
        <v>20000</v>
      </c>
      <c r="H53" s="55">
        <v>7</v>
      </c>
      <c r="I53" s="14">
        <v>45956</v>
      </c>
      <c r="J53" s="55">
        <f t="shared" si="1"/>
        <v>1</v>
      </c>
      <c r="K53" s="89">
        <v>1</v>
      </c>
      <c r="L53" s="89" t="s">
        <v>732</v>
      </c>
      <c r="M53" s="56" t="str">
        <f t="shared" si="0"/>
        <v>100</v>
      </c>
      <c r="N53" s="104" t="str" cm="1">
        <f t="array" ref="N53">_xlfn.IFS(J53&gt;=H53,"0",J53&lt;H53,"100")</f>
        <v>100</v>
      </c>
      <c r="O53" s="13" t="s">
        <v>821</v>
      </c>
      <c r="P53" s="14">
        <f t="shared" si="2"/>
        <v>45986</v>
      </c>
      <c r="Q53" s="62">
        <f t="shared" si="3"/>
        <v>30</v>
      </c>
      <c r="R53" s="13" t="s">
        <v>24</v>
      </c>
      <c r="S53" s="13"/>
      <c r="T53" s="17">
        <f t="shared" si="4"/>
        <v>-0.14285714285714285</v>
      </c>
    </row>
    <row r="54" spans="1:20" s="16" customFormat="1" x14ac:dyDescent="0.2">
      <c r="A54" s="13" t="s">
        <v>755</v>
      </c>
      <c r="B54" s="13" t="s">
        <v>749</v>
      </c>
      <c r="C54" s="68" t="s">
        <v>543</v>
      </c>
      <c r="D54" s="14">
        <v>45956</v>
      </c>
      <c r="E54" s="13" t="s">
        <v>728</v>
      </c>
      <c r="F54" s="13" t="s">
        <v>760</v>
      </c>
      <c r="G54" s="68">
        <v>29000</v>
      </c>
      <c r="H54" s="55">
        <v>7</v>
      </c>
      <c r="I54" s="14">
        <v>45957</v>
      </c>
      <c r="J54" s="55">
        <f t="shared" si="1"/>
        <v>1</v>
      </c>
      <c r="K54" s="89">
        <v>1</v>
      </c>
      <c r="L54" s="89" t="s">
        <v>732</v>
      </c>
      <c r="M54" s="56" t="str">
        <f t="shared" si="0"/>
        <v>100</v>
      </c>
      <c r="N54" s="104" t="str" cm="1">
        <f t="array" ref="N54">_xlfn.IFS(J54&gt;=H54,"0",J54&lt;H54,"100")</f>
        <v>100</v>
      </c>
      <c r="O54" s="13" t="s">
        <v>822</v>
      </c>
      <c r="P54" s="14">
        <f t="shared" si="2"/>
        <v>45987</v>
      </c>
      <c r="Q54" s="62">
        <f t="shared" si="3"/>
        <v>30</v>
      </c>
      <c r="R54" s="13" t="s">
        <v>24</v>
      </c>
      <c r="S54" s="13"/>
      <c r="T54" s="17">
        <f t="shared" si="4"/>
        <v>-0.14285714285714285</v>
      </c>
    </row>
    <row r="55" spans="1:20" s="16" customFormat="1" x14ac:dyDescent="0.2">
      <c r="A55" s="13" t="s">
        <v>755</v>
      </c>
      <c r="B55" s="13" t="s">
        <v>749</v>
      </c>
      <c r="C55" s="68" t="s">
        <v>544</v>
      </c>
      <c r="D55" s="14">
        <v>45957</v>
      </c>
      <c r="E55" s="13" t="s">
        <v>728</v>
      </c>
      <c r="F55" s="13" t="s">
        <v>760</v>
      </c>
      <c r="G55" s="68">
        <v>7000</v>
      </c>
      <c r="H55" s="55">
        <v>7</v>
      </c>
      <c r="I55" s="14">
        <v>45958</v>
      </c>
      <c r="J55" s="55">
        <f t="shared" si="1"/>
        <v>1</v>
      </c>
      <c r="K55" s="89">
        <v>1</v>
      </c>
      <c r="L55" s="91" t="s">
        <v>732</v>
      </c>
      <c r="M55" s="56" t="str">
        <f t="shared" si="0"/>
        <v>100</v>
      </c>
      <c r="N55" s="104" t="str" cm="1">
        <f t="array" ref="N55">_xlfn.IFS(J55&gt;=H55,"0",J55&lt;H55,"100")</f>
        <v>100</v>
      </c>
      <c r="O55" s="13" t="s">
        <v>823</v>
      </c>
      <c r="P55" s="14">
        <f t="shared" si="2"/>
        <v>45988</v>
      </c>
      <c r="Q55" s="62">
        <f t="shared" si="3"/>
        <v>30</v>
      </c>
      <c r="R55" s="13" t="s">
        <v>24</v>
      </c>
      <c r="S55" s="13"/>
      <c r="T55" s="17">
        <f t="shared" si="4"/>
        <v>-0.14285714285714285</v>
      </c>
    </row>
    <row r="56" spans="1:20" s="16" customFormat="1" x14ac:dyDescent="0.2">
      <c r="A56" s="13" t="s">
        <v>755</v>
      </c>
      <c r="B56" s="13" t="s">
        <v>749</v>
      </c>
      <c r="C56" s="68" t="s">
        <v>545</v>
      </c>
      <c r="D56" s="14">
        <v>45958</v>
      </c>
      <c r="E56" s="13" t="s">
        <v>728</v>
      </c>
      <c r="F56" s="13" t="s">
        <v>760</v>
      </c>
      <c r="G56" s="68">
        <v>10000</v>
      </c>
      <c r="H56" s="55">
        <v>7</v>
      </c>
      <c r="I56" s="14">
        <v>45959</v>
      </c>
      <c r="J56" s="55">
        <f t="shared" si="1"/>
        <v>1</v>
      </c>
      <c r="K56" s="89">
        <v>1</v>
      </c>
      <c r="L56" s="91" t="s">
        <v>732</v>
      </c>
      <c r="M56" s="56" t="str">
        <f t="shared" si="0"/>
        <v>100</v>
      </c>
      <c r="N56" s="104" t="str" cm="1">
        <f t="array" ref="N56">_xlfn.IFS(J56&gt;=H56,"0",J56&lt;H56,"100")</f>
        <v>100</v>
      </c>
      <c r="O56" s="13" t="s">
        <v>824</v>
      </c>
      <c r="P56" s="14">
        <f t="shared" si="2"/>
        <v>45989</v>
      </c>
      <c r="Q56" s="62">
        <f t="shared" si="3"/>
        <v>30</v>
      </c>
      <c r="R56" s="13" t="s">
        <v>24</v>
      </c>
      <c r="S56" s="13"/>
      <c r="T56" s="17">
        <f t="shared" si="4"/>
        <v>-0.14285714285714285</v>
      </c>
    </row>
    <row r="57" spans="1:20" s="16" customFormat="1" x14ac:dyDescent="0.2">
      <c r="A57" s="13" t="s">
        <v>755</v>
      </c>
      <c r="B57" s="13" t="s">
        <v>749</v>
      </c>
      <c r="C57" s="68" t="s">
        <v>546</v>
      </c>
      <c r="D57" s="14">
        <v>45959</v>
      </c>
      <c r="E57" s="13" t="s">
        <v>728</v>
      </c>
      <c r="F57" s="13" t="s">
        <v>760</v>
      </c>
      <c r="G57" s="68">
        <v>75256</v>
      </c>
      <c r="H57" s="55">
        <v>7</v>
      </c>
      <c r="I57" s="14">
        <v>45960</v>
      </c>
      <c r="J57" s="55">
        <f t="shared" si="1"/>
        <v>1</v>
      </c>
      <c r="K57" s="89">
        <v>1</v>
      </c>
      <c r="L57" s="91" t="s">
        <v>732</v>
      </c>
      <c r="M57" s="56" t="str">
        <f t="shared" si="0"/>
        <v>100</v>
      </c>
      <c r="N57" s="104" t="str" cm="1">
        <f t="array" ref="N57">_xlfn.IFS(J57&gt;=H57,"0",J57&lt;H57,"100")</f>
        <v>100</v>
      </c>
      <c r="O57" s="13" t="s">
        <v>825</v>
      </c>
      <c r="P57" s="14">
        <f t="shared" si="2"/>
        <v>45990</v>
      </c>
      <c r="Q57" s="62">
        <f t="shared" si="3"/>
        <v>30</v>
      </c>
      <c r="R57" s="13" t="s">
        <v>24</v>
      </c>
      <c r="S57" s="13"/>
      <c r="T57" s="17">
        <f t="shared" si="4"/>
        <v>-0.14285714285714285</v>
      </c>
    </row>
    <row r="58" spans="1:20" s="16" customFormat="1" x14ac:dyDescent="0.2">
      <c r="A58" s="13" t="s">
        <v>755</v>
      </c>
      <c r="B58" s="13" t="s">
        <v>749</v>
      </c>
      <c r="C58" s="68" t="s">
        <v>547</v>
      </c>
      <c r="D58" s="14">
        <v>45960</v>
      </c>
      <c r="E58" s="13" t="s">
        <v>728</v>
      </c>
      <c r="F58" s="13" t="s">
        <v>760</v>
      </c>
      <c r="G58" s="68">
        <v>75256</v>
      </c>
      <c r="H58" s="55">
        <v>7</v>
      </c>
      <c r="I58" s="14">
        <v>45961</v>
      </c>
      <c r="J58" s="55">
        <f t="shared" si="1"/>
        <v>1</v>
      </c>
      <c r="K58" s="89">
        <v>1</v>
      </c>
      <c r="L58" s="91" t="s">
        <v>732</v>
      </c>
      <c r="M58" s="56" t="str">
        <f t="shared" si="0"/>
        <v>100</v>
      </c>
      <c r="N58" s="104" t="str" cm="1">
        <f t="array" ref="N58">_xlfn.IFS(J58&gt;=H58,"0",J58&lt;H58,"100")</f>
        <v>100</v>
      </c>
      <c r="O58" s="13" t="s">
        <v>826</v>
      </c>
      <c r="P58" s="14">
        <f t="shared" si="2"/>
        <v>45991</v>
      </c>
      <c r="Q58" s="62">
        <f t="shared" si="3"/>
        <v>30</v>
      </c>
      <c r="R58" s="13" t="s">
        <v>24</v>
      </c>
      <c r="S58" s="13"/>
      <c r="T58" s="17">
        <f t="shared" si="4"/>
        <v>-0.14285714285714285</v>
      </c>
    </row>
    <row r="59" spans="1:20" s="16" customFormat="1" x14ac:dyDescent="0.2">
      <c r="A59" s="13" t="s">
        <v>752</v>
      </c>
      <c r="B59" s="13" t="s">
        <v>480</v>
      </c>
      <c r="C59" s="68" t="s">
        <v>548</v>
      </c>
      <c r="D59" s="14">
        <v>45961</v>
      </c>
      <c r="E59" s="13" t="s">
        <v>764</v>
      </c>
      <c r="F59" s="13" t="s">
        <v>759</v>
      </c>
      <c r="G59" s="78">
        <v>475</v>
      </c>
      <c r="H59" s="75">
        <v>7</v>
      </c>
      <c r="I59" s="14">
        <v>45962</v>
      </c>
      <c r="J59" s="55">
        <f t="shared" si="1"/>
        <v>1</v>
      </c>
      <c r="K59" s="89">
        <v>1</v>
      </c>
      <c r="L59" s="91" t="s">
        <v>732</v>
      </c>
      <c r="M59" s="56" t="str">
        <f t="shared" si="0"/>
        <v>100</v>
      </c>
      <c r="N59" s="104" t="str" cm="1">
        <f t="array" ref="N59">_xlfn.IFS(J59&gt;=H59,"0",J59&lt;H59,"100")</f>
        <v>100</v>
      </c>
      <c r="O59" s="13" t="s">
        <v>827</v>
      </c>
      <c r="P59" s="14">
        <f t="shared" si="2"/>
        <v>45992</v>
      </c>
      <c r="Q59" s="62">
        <f t="shared" si="3"/>
        <v>30</v>
      </c>
      <c r="R59" s="13" t="s">
        <v>24</v>
      </c>
      <c r="S59" s="13"/>
      <c r="T59" s="17">
        <f t="shared" si="4"/>
        <v>-0.14285714285714285</v>
      </c>
    </row>
    <row r="60" spans="1:20" s="16" customFormat="1" x14ac:dyDescent="0.2">
      <c r="A60" s="13" t="s">
        <v>752</v>
      </c>
      <c r="B60" s="13" t="s">
        <v>480</v>
      </c>
      <c r="C60" s="68" t="s">
        <v>549</v>
      </c>
      <c r="D60" s="14">
        <v>45933</v>
      </c>
      <c r="E60" s="13" t="s">
        <v>764</v>
      </c>
      <c r="F60" s="13" t="s">
        <v>759</v>
      </c>
      <c r="G60" s="78">
        <v>675</v>
      </c>
      <c r="H60" s="75">
        <v>7</v>
      </c>
      <c r="I60" s="14">
        <v>45938</v>
      </c>
      <c r="J60" s="55">
        <f t="shared" si="1"/>
        <v>5</v>
      </c>
      <c r="K60" s="89">
        <v>5</v>
      </c>
      <c r="L60" s="91" t="s">
        <v>732</v>
      </c>
      <c r="M60" s="56" t="str">
        <f t="shared" si="0"/>
        <v>100</v>
      </c>
      <c r="N60" s="104" t="str" cm="1">
        <f t="array" ref="N60">_xlfn.IFS(J60&gt;=H60,"0",J60&lt;H60,"100")</f>
        <v>100</v>
      </c>
      <c r="O60" s="13" t="s">
        <v>828</v>
      </c>
      <c r="P60" s="14">
        <f t="shared" si="2"/>
        <v>45968</v>
      </c>
      <c r="Q60" s="62">
        <f t="shared" si="3"/>
        <v>30</v>
      </c>
      <c r="R60" s="13" t="s">
        <v>24</v>
      </c>
      <c r="S60" s="13"/>
      <c r="T60" s="17">
        <f t="shared" si="4"/>
        <v>-0.7142857142857143</v>
      </c>
    </row>
    <row r="61" spans="1:20" s="16" customFormat="1" x14ac:dyDescent="0.2">
      <c r="A61" s="13" t="s">
        <v>752</v>
      </c>
      <c r="B61" s="13" t="s">
        <v>480</v>
      </c>
      <c r="C61" s="68" t="s">
        <v>550</v>
      </c>
      <c r="D61" s="14">
        <v>45934</v>
      </c>
      <c r="E61" s="13" t="s">
        <v>764</v>
      </c>
      <c r="F61" s="13" t="s">
        <v>759</v>
      </c>
      <c r="G61" s="78">
        <v>836</v>
      </c>
      <c r="H61" s="75">
        <v>7</v>
      </c>
      <c r="I61" s="14">
        <v>45939</v>
      </c>
      <c r="J61" s="55">
        <f t="shared" si="1"/>
        <v>5</v>
      </c>
      <c r="K61" s="89">
        <v>5</v>
      </c>
      <c r="L61" s="91" t="s">
        <v>732</v>
      </c>
      <c r="M61" s="56" t="str">
        <f t="shared" si="0"/>
        <v>100</v>
      </c>
      <c r="N61" s="104" t="str" cm="1">
        <f t="array" ref="N61">_xlfn.IFS(J61&gt;=H61,"0",J61&lt;H61,"100")</f>
        <v>100</v>
      </c>
      <c r="O61" s="13" t="s">
        <v>829</v>
      </c>
      <c r="P61" s="14">
        <f t="shared" si="2"/>
        <v>45969</v>
      </c>
      <c r="Q61" s="62">
        <f t="shared" si="3"/>
        <v>30</v>
      </c>
      <c r="R61" s="13" t="s">
        <v>24</v>
      </c>
      <c r="S61" s="13"/>
      <c r="T61" s="17">
        <f t="shared" si="4"/>
        <v>-0.7142857142857143</v>
      </c>
    </row>
    <row r="62" spans="1:20" s="16" customFormat="1" x14ac:dyDescent="0.2">
      <c r="A62" s="13" t="s">
        <v>752</v>
      </c>
      <c r="B62" s="13" t="s">
        <v>480</v>
      </c>
      <c r="C62" s="68" t="s">
        <v>551</v>
      </c>
      <c r="D62" s="14">
        <v>45935</v>
      </c>
      <c r="E62" s="13" t="s">
        <v>764</v>
      </c>
      <c r="F62" s="13" t="s">
        <v>759</v>
      </c>
      <c r="G62" s="78">
        <v>232</v>
      </c>
      <c r="H62" s="75">
        <v>7</v>
      </c>
      <c r="I62" s="14">
        <v>45940</v>
      </c>
      <c r="J62" s="55">
        <f t="shared" si="1"/>
        <v>5</v>
      </c>
      <c r="K62" s="89">
        <v>5</v>
      </c>
      <c r="L62" s="91" t="s">
        <v>732</v>
      </c>
      <c r="M62" s="56" t="str">
        <f t="shared" si="0"/>
        <v>100</v>
      </c>
      <c r="N62" s="104" t="str" cm="1">
        <f t="array" ref="N62">_xlfn.IFS(J62&gt;=H62,"0",J62&lt;H62,"100")</f>
        <v>100</v>
      </c>
      <c r="O62" s="13" t="s">
        <v>830</v>
      </c>
      <c r="P62" s="14">
        <f t="shared" si="2"/>
        <v>45970</v>
      </c>
      <c r="Q62" s="62">
        <f t="shared" si="3"/>
        <v>30</v>
      </c>
      <c r="R62" s="13" t="s">
        <v>24</v>
      </c>
      <c r="S62" s="13"/>
      <c r="T62" s="17">
        <f t="shared" si="4"/>
        <v>-0.7142857142857143</v>
      </c>
    </row>
    <row r="63" spans="1:20" s="16" customFormat="1" x14ac:dyDescent="0.2">
      <c r="A63" s="13" t="s">
        <v>752</v>
      </c>
      <c r="B63" s="13" t="s">
        <v>480</v>
      </c>
      <c r="C63" s="68" t="s">
        <v>552</v>
      </c>
      <c r="D63" s="14">
        <v>45936</v>
      </c>
      <c r="E63" s="13" t="s">
        <v>764</v>
      </c>
      <c r="F63" s="13" t="s">
        <v>759</v>
      </c>
      <c r="G63" s="78">
        <v>86.96</v>
      </c>
      <c r="H63" s="75">
        <v>7</v>
      </c>
      <c r="I63" s="14">
        <v>45941</v>
      </c>
      <c r="J63" s="55">
        <f t="shared" si="1"/>
        <v>5</v>
      </c>
      <c r="K63" s="89">
        <v>5</v>
      </c>
      <c r="L63" s="91" t="s">
        <v>732</v>
      </c>
      <c r="M63" s="56" t="str">
        <f t="shared" si="0"/>
        <v>100</v>
      </c>
      <c r="N63" s="104" t="str" cm="1">
        <f t="array" ref="N63">_xlfn.IFS(J63&gt;=H63,"0",J63&lt;H63,"100")</f>
        <v>100</v>
      </c>
      <c r="O63" s="13" t="s">
        <v>831</v>
      </c>
      <c r="P63" s="14">
        <f t="shared" si="2"/>
        <v>45971</v>
      </c>
      <c r="Q63" s="62">
        <f t="shared" si="3"/>
        <v>30</v>
      </c>
      <c r="R63" s="13" t="s">
        <v>24</v>
      </c>
      <c r="S63" s="13"/>
      <c r="T63" s="17">
        <f t="shared" si="4"/>
        <v>-0.7142857142857143</v>
      </c>
    </row>
    <row r="64" spans="1:20" s="16" customFormat="1" x14ac:dyDescent="0.2">
      <c r="A64" s="13" t="s">
        <v>752</v>
      </c>
      <c r="B64" s="13" t="s">
        <v>480</v>
      </c>
      <c r="C64" s="68" t="s">
        <v>553</v>
      </c>
      <c r="D64" s="14">
        <v>45937</v>
      </c>
      <c r="E64" s="13" t="s">
        <v>764</v>
      </c>
      <c r="F64" s="13" t="s">
        <v>759</v>
      </c>
      <c r="G64" s="78">
        <v>304.35000000000002</v>
      </c>
      <c r="H64" s="75">
        <v>7</v>
      </c>
      <c r="I64" s="14">
        <v>45942</v>
      </c>
      <c r="J64" s="55">
        <f t="shared" si="1"/>
        <v>5</v>
      </c>
      <c r="K64" s="89">
        <v>5</v>
      </c>
      <c r="L64" s="91" t="s">
        <v>732</v>
      </c>
      <c r="M64" s="56" t="str">
        <f t="shared" si="0"/>
        <v>100</v>
      </c>
      <c r="N64" s="104" t="str" cm="1">
        <f t="array" ref="N64">_xlfn.IFS(J64&gt;=H64,"0",J64&lt;H64,"100")</f>
        <v>100</v>
      </c>
      <c r="O64" s="13" t="s">
        <v>832</v>
      </c>
      <c r="P64" s="14">
        <f t="shared" si="2"/>
        <v>45972</v>
      </c>
      <c r="Q64" s="62">
        <f t="shared" si="3"/>
        <v>30</v>
      </c>
      <c r="R64" s="13" t="s">
        <v>24</v>
      </c>
      <c r="S64" s="13"/>
      <c r="T64" s="17">
        <f t="shared" si="4"/>
        <v>-0.7142857142857143</v>
      </c>
    </row>
    <row r="65" spans="1:20" s="16" customFormat="1" x14ac:dyDescent="0.2">
      <c r="A65" s="13" t="s">
        <v>752</v>
      </c>
      <c r="B65" s="13" t="s">
        <v>480</v>
      </c>
      <c r="C65" s="68" t="s">
        <v>554</v>
      </c>
      <c r="D65" s="14">
        <v>45938</v>
      </c>
      <c r="E65" s="13" t="s">
        <v>764</v>
      </c>
      <c r="F65" s="13" t="s">
        <v>759</v>
      </c>
      <c r="G65" s="78">
        <v>576</v>
      </c>
      <c r="H65" s="75">
        <v>7</v>
      </c>
      <c r="I65" s="14">
        <v>45943</v>
      </c>
      <c r="J65" s="55">
        <f t="shared" si="1"/>
        <v>5</v>
      </c>
      <c r="K65" s="89">
        <v>5</v>
      </c>
      <c r="L65" s="91" t="s">
        <v>732</v>
      </c>
      <c r="M65" s="56" t="str">
        <f t="shared" si="0"/>
        <v>100</v>
      </c>
      <c r="N65" s="104" t="str" cm="1">
        <f t="array" ref="N65">_xlfn.IFS(J65&gt;=H65,"0",J65&lt;H65,"100")</f>
        <v>100</v>
      </c>
      <c r="O65" s="13" t="s">
        <v>833</v>
      </c>
      <c r="P65" s="14">
        <f t="shared" si="2"/>
        <v>45973</v>
      </c>
      <c r="Q65" s="62">
        <f t="shared" si="3"/>
        <v>30</v>
      </c>
      <c r="R65" s="13" t="s">
        <v>24</v>
      </c>
      <c r="S65" s="13"/>
      <c r="T65" s="17">
        <f t="shared" si="4"/>
        <v>-0.7142857142857143</v>
      </c>
    </row>
    <row r="66" spans="1:20" s="16" customFormat="1" x14ac:dyDescent="0.2">
      <c r="A66" s="13" t="s">
        <v>752</v>
      </c>
      <c r="B66" s="13" t="s">
        <v>480</v>
      </c>
      <c r="C66" s="68" t="s">
        <v>555</v>
      </c>
      <c r="D66" s="14">
        <v>45939</v>
      </c>
      <c r="E66" s="13" t="s">
        <v>764</v>
      </c>
      <c r="F66" s="13" t="s">
        <v>759</v>
      </c>
      <c r="G66" s="78">
        <v>1099</v>
      </c>
      <c r="H66" s="75">
        <v>7</v>
      </c>
      <c r="I66" s="14">
        <v>45944</v>
      </c>
      <c r="J66" s="55">
        <f t="shared" si="1"/>
        <v>5</v>
      </c>
      <c r="K66" s="89">
        <v>5</v>
      </c>
      <c r="L66" s="91" t="s">
        <v>732</v>
      </c>
      <c r="M66" s="56" t="str">
        <f t="shared" ref="M66:M129" si="5">IF(ISBLANK(I66),"",IF(H66&lt;K66,(-(H66-K66)/H66)*100,"100"))</f>
        <v>100</v>
      </c>
      <c r="N66" s="104" t="str" cm="1">
        <f t="array" ref="N66">_xlfn.IFS(J66&gt;=H66,"0",J66&lt;H66,"100")</f>
        <v>100</v>
      </c>
      <c r="O66" s="13" t="s">
        <v>834</v>
      </c>
      <c r="P66" s="14">
        <f t="shared" si="2"/>
        <v>45974</v>
      </c>
      <c r="Q66" s="62">
        <f t="shared" si="3"/>
        <v>30</v>
      </c>
      <c r="R66" s="13" t="s">
        <v>24</v>
      </c>
      <c r="S66" s="13"/>
      <c r="T66" s="17">
        <f t="shared" ref="T66:T118" si="6">-J66/H66</f>
        <v>-0.7142857142857143</v>
      </c>
    </row>
    <row r="67" spans="1:20" s="16" customFormat="1" x14ac:dyDescent="0.2">
      <c r="A67" s="13" t="s">
        <v>752</v>
      </c>
      <c r="B67" s="13" t="s">
        <v>480</v>
      </c>
      <c r="C67" s="68" t="s">
        <v>556</v>
      </c>
      <c r="D67" s="14">
        <v>45940</v>
      </c>
      <c r="E67" s="13" t="s">
        <v>764</v>
      </c>
      <c r="F67" s="13" t="s">
        <v>759</v>
      </c>
      <c r="G67" s="68">
        <v>9450</v>
      </c>
      <c r="H67" s="55">
        <v>7</v>
      </c>
      <c r="I67" s="14">
        <v>45945</v>
      </c>
      <c r="J67" s="55">
        <f t="shared" ref="J67:J130" si="7">IF(ISBLANK(I67),"",I67-D67)</f>
        <v>5</v>
      </c>
      <c r="K67" s="89">
        <v>5</v>
      </c>
      <c r="L67" s="89" t="s">
        <v>732</v>
      </c>
      <c r="M67" s="56" t="str">
        <f t="shared" si="5"/>
        <v>100</v>
      </c>
      <c r="N67" s="104" t="str" cm="1">
        <f t="array" ref="N67">_xlfn.IFS(J67&gt;=H67,"0",J67&lt;H67,"100")</f>
        <v>100</v>
      </c>
      <c r="O67" s="13" t="s">
        <v>835</v>
      </c>
      <c r="P67" s="14">
        <f t="shared" ref="P67:P130" si="8">I67+30</f>
        <v>45975</v>
      </c>
      <c r="Q67" s="62">
        <f t="shared" ref="Q67:Q130" si="9">P67-I67</f>
        <v>30</v>
      </c>
      <c r="R67" s="13" t="s">
        <v>24</v>
      </c>
      <c r="S67" s="13"/>
      <c r="T67" s="17">
        <f t="shared" si="6"/>
        <v>-0.7142857142857143</v>
      </c>
    </row>
    <row r="68" spans="1:20" s="16" customFormat="1" x14ac:dyDescent="0.2">
      <c r="A68" s="13" t="s">
        <v>752</v>
      </c>
      <c r="B68" s="13" t="s">
        <v>480</v>
      </c>
      <c r="C68" s="68" t="s">
        <v>557</v>
      </c>
      <c r="D68" s="14">
        <v>45941</v>
      </c>
      <c r="E68" s="13" t="s">
        <v>764</v>
      </c>
      <c r="F68" s="13" t="s">
        <v>759</v>
      </c>
      <c r="G68" s="68">
        <v>2550</v>
      </c>
      <c r="H68" s="55">
        <v>7</v>
      </c>
      <c r="I68" s="14">
        <v>45946</v>
      </c>
      <c r="J68" s="55">
        <f t="shared" si="7"/>
        <v>5</v>
      </c>
      <c r="K68" s="89">
        <v>5</v>
      </c>
      <c r="L68" s="90" t="s">
        <v>732</v>
      </c>
      <c r="M68" s="56" t="str">
        <f t="shared" si="5"/>
        <v>100</v>
      </c>
      <c r="N68" s="104" t="str" cm="1">
        <f t="array" ref="N68">_xlfn.IFS(J68&gt;=H68,"0",J68&lt;H68,"100")</f>
        <v>100</v>
      </c>
      <c r="O68" s="13" t="s">
        <v>836</v>
      </c>
      <c r="P68" s="14">
        <f t="shared" si="8"/>
        <v>45976</v>
      </c>
      <c r="Q68" s="62">
        <f t="shared" si="9"/>
        <v>30</v>
      </c>
      <c r="R68" s="13" t="s">
        <v>24</v>
      </c>
      <c r="S68" s="13"/>
      <c r="T68" s="17">
        <f t="shared" si="6"/>
        <v>-0.7142857142857143</v>
      </c>
    </row>
    <row r="69" spans="1:20" s="16" customFormat="1" x14ac:dyDescent="0.2">
      <c r="A69" s="13" t="s">
        <v>752</v>
      </c>
      <c r="B69" s="13" t="s">
        <v>480</v>
      </c>
      <c r="C69" s="68" t="s">
        <v>558</v>
      </c>
      <c r="D69" s="14">
        <v>45942</v>
      </c>
      <c r="E69" s="13" t="s">
        <v>764</v>
      </c>
      <c r="F69" s="13" t="s">
        <v>759</v>
      </c>
      <c r="G69" s="68">
        <v>2000</v>
      </c>
      <c r="H69" s="55">
        <v>7</v>
      </c>
      <c r="I69" s="14">
        <v>45947</v>
      </c>
      <c r="J69" s="55">
        <f t="shared" si="7"/>
        <v>5</v>
      </c>
      <c r="K69" s="89">
        <v>5</v>
      </c>
      <c r="L69" s="90" t="s">
        <v>732</v>
      </c>
      <c r="M69" s="56" t="str">
        <f t="shared" si="5"/>
        <v>100</v>
      </c>
      <c r="N69" s="104" t="str" cm="1">
        <f t="array" ref="N69">_xlfn.IFS(J69&gt;=H69,"0",J69&lt;H69,"100")</f>
        <v>100</v>
      </c>
      <c r="O69" s="13" t="s">
        <v>837</v>
      </c>
      <c r="P69" s="14">
        <f t="shared" si="8"/>
        <v>45977</v>
      </c>
      <c r="Q69" s="62">
        <f t="shared" si="9"/>
        <v>30</v>
      </c>
      <c r="R69" s="13" t="s">
        <v>24</v>
      </c>
      <c r="S69" s="13"/>
      <c r="T69" s="17">
        <f t="shared" si="6"/>
        <v>-0.7142857142857143</v>
      </c>
    </row>
    <row r="70" spans="1:20" s="16" customFormat="1" x14ac:dyDescent="0.2">
      <c r="A70" s="13" t="s">
        <v>752</v>
      </c>
      <c r="B70" s="13" t="s">
        <v>480</v>
      </c>
      <c r="C70" s="68" t="s">
        <v>559</v>
      </c>
      <c r="D70" s="14">
        <v>45943</v>
      </c>
      <c r="E70" s="13" t="s">
        <v>764</v>
      </c>
      <c r="F70" s="13" t="s">
        <v>759</v>
      </c>
      <c r="G70" s="68">
        <v>28185</v>
      </c>
      <c r="H70" s="55">
        <v>7</v>
      </c>
      <c r="I70" s="14">
        <v>45948</v>
      </c>
      <c r="J70" s="55">
        <f t="shared" si="7"/>
        <v>5</v>
      </c>
      <c r="K70" s="89">
        <v>5</v>
      </c>
      <c r="L70" s="89" t="s">
        <v>732</v>
      </c>
      <c r="M70" s="56" t="str">
        <f t="shared" si="5"/>
        <v>100</v>
      </c>
      <c r="N70" s="104" t="str" cm="1">
        <f t="array" ref="N70">_xlfn.IFS(J70&gt;=H70,"0",J70&lt;H70,"100")</f>
        <v>100</v>
      </c>
      <c r="O70" s="13" t="s">
        <v>838</v>
      </c>
      <c r="P70" s="14">
        <f t="shared" si="8"/>
        <v>45978</v>
      </c>
      <c r="Q70" s="62">
        <f t="shared" si="9"/>
        <v>30</v>
      </c>
      <c r="R70" s="13" t="s">
        <v>24</v>
      </c>
      <c r="S70" s="13"/>
      <c r="T70" s="17">
        <f t="shared" si="6"/>
        <v>-0.7142857142857143</v>
      </c>
    </row>
    <row r="71" spans="1:20" s="16" customFormat="1" x14ac:dyDescent="0.15">
      <c r="A71" s="13" t="s">
        <v>752</v>
      </c>
      <c r="B71" s="13" t="s">
        <v>480</v>
      </c>
      <c r="C71" s="68" t="s">
        <v>560</v>
      </c>
      <c r="D71" s="14">
        <v>45944</v>
      </c>
      <c r="E71" s="13" t="s">
        <v>764</v>
      </c>
      <c r="F71" s="13" t="s">
        <v>759</v>
      </c>
      <c r="G71" s="79">
        <v>636364.80000000005</v>
      </c>
      <c r="H71" s="59">
        <v>15</v>
      </c>
      <c r="I71" s="14">
        <v>45949</v>
      </c>
      <c r="J71" s="55">
        <f t="shared" si="7"/>
        <v>5</v>
      </c>
      <c r="K71" s="89">
        <v>5</v>
      </c>
      <c r="L71" s="89" t="s">
        <v>732</v>
      </c>
      <c r="M71" s="56" t="str">
        <f t="shared" si="5"/>
        <v>100</v>
      </c>
      <c r="N71" s="104" t="str" cm="1">
        <f t="array" ref="N71">_xlfn.IFS(J71&gt;=H71,"0",J71&lt;H71,"100")</f>
        <v>100</v>
      </c>
      <c r="O71" s="13" t="s">
        <v>839</v>
      </c>
      <c r="P71" s="14">
        <f t="shared" si="8"/>
        <v>45979</v>
      </c>
      <c r="Q71" s="62">
        <f t="shared" si="9"/>
        <v>30</v>
      </c>
      <c r="R71" s="13" t="s">
        <v>24</v>
      </c>
      <c r="S71" s="13"/>
      <c r="T71" s="17">
        <f t="shared" si="6"/>
        <v>-0.33333333333333331</v>
      </c>
    </row>
    <row r="72" spans="1:20" s="16" customFormat="1" x14ac:dyDescent="0.2">
      <c r="A72" s="13" t="s">
        <v>752</v>
      </c>
      <c r="B72" s="13" t="s">
        <v>480</v>
      </c>
      <c r="C72" s="68" t="s">
        <v>561</v>
      </c>
      <c r="D72" s="14">
        <v>45945</v>
      </c>
      <c r="E72" s="13" t="s">
        <v>764</v>
      </c>
      <c r="F72" s="13" t="s">
        <v>759</v>
      </c>
      <c r="G72" s="68">
        <v>288000</v>
      </c>
      <c r="H72" s="55">
        <v>15</v>
      </c>
      <c r="I72" s="14">
        <v>45950</v>
      </c>
      <c r="J72" s="55">
        <f t="shared" si="7"/>
        <v>5</v>
      </c>
      <c r="K72" s="89">
        <v>5</v>
      </c>
      <c r="L72" s="89" t="s">
        <v>732</v>
      </c>
      <c r="M72" s="56" t="str">
        <f t="shared" si="5"/>
        <v>100</v>
      </c>
      <c r="N72" s="104" t="str" cm="1">
        <f t="array" ref="N72">_xlfn.IFS(J72&gt;=H72,"0",J72&lt;H72,"100")</f>
        <v>100</v>
      </c>
      <c r="O72" s="13" t="s">
        <v>840</v>
      </c>
      <c r="P72" s="14">
        <f t="shared" si="8"/>
        <v>45980</v>
      </c>
      <c r="Q72" s="62">
        <f t="shared" si="9"/>
        <v>30</v>
      </c>
      <c r="R72" s="13" t="s">
        <v>24</v>
      </c>
      <c r="S72" s="13"/>
      <c r="T72" s="17">
        <f t="shared" si="6"/>
        <v>-0.33333333333333331</v>
      </c>
    </row>
    <row r="73" spans="1:20" s="16" customFormat="1" x14ac:dyDescent="0.2">
      <c r="A73" s="13" t="s">
        <v>752</v>
      </c>
      <c r="B73" s="13" t="s">
        <v>480</v>
      </c>
      <c r="C73" s="68" t="s">
        <v>562</v>
      </c>
      <c r="D73" s="14">
        <v>45946</v>
      </c>
      <c r="E73" s="13" t="s">
        <v>764</v>
      </c>
      <c r="F73" s="13" t="s">
        <v>759</v>
      </c>
      <c r="G73" s="68">
        <v>464184</v>
      </c>
      <c r="H73" s="55">
        <v>15</v>
      </c>
      <c r="I73" s="14">
        <v>45951</v>
      </c>
      <c r="J73" s="55">
        <f t="shared" si="7"/>
        <v>5</v>
      </c>
      <c r="K73" s="89">
        <v>5</v>
      </c>
      <c r="L73" s="89" t="s">
        <v>732</v>
      </c>
      <c r="M73" s="56" t="str">
        <f t="shared" si="5"/>
        <v>100</v>
      </c>
      <c r="N73" s="104" t="str" cm="1">
        <f t="array" ref="N73">_xlfn.IFS(J73&gt;=H73,"0",J73&lt;H73,"100")</f>
        <v>100</v>
      </c>
      <c r="O73" s="13" t="s">
        <v>841</v>
      </c>
      <c r="P73" s="14">
        <f t="shared" si="8"/>
        <v>45981</v>
      </c>
      <c r="Q73" s="62">
        <f t="shared" si="9"/>
        <v>30</v>
      </c>
      <c r="R73" s="13" t="s">
        <v>24</v>
      </c>
      <c r="S73" s="13"/>
      <c r="T73" s="17">
        <f t="shared" si="6"/>
        <v>-0.33333333333333331</v>
      </c>
    </row>
    <row r="74" spans="1:20" s="16" customFormat="1" x14ac:dyDescent="0.15">
      <c r="A74" s="13" t="s">
        <v>752</v>
      </c>
      <c r="B74" s="13" t="s">
        <v>480</v>
      </c>
      <c r="C74" s="68" t="s">
        <v>563</v>
      </c>
      <c r="D74" s="14">
        <v>45947</v>
      </c>
      <c r="E74" s="13" t="s">
        <v>764</v>
      </c>
      <c r="F74" s="13" t="s">
        <v>759</v>
      </c>
      <c r="G74" s="80">
        <v>706724</v>
      </c>
      <c r="H74" s="60">
        <v>15</v>
      </c>
      <c r="I74" s="14">
        <v>45952</v>
      </c>
      <c r="J74" s="55">
        <f t="shared" si="7"/>
        <v>5</v>
      </c>
      <c r="K74" s="89">
        <v>5</v>
      </c>
      <c r="L74" s="89" t="s">
        <v>732</v>
      </c>
      <c r="M74" s="56" t="str">
        <f t="shared" si="5"/>
        <v>100</v>
      </c>
      <c r="N74" s="104" t="str" cm="1">
        <f t="array" ref="N74">_xlfn.IFS(J74&gt;=H74,"0",J74&lt;H74,"100")</f>
        <v>100</v>
      </c>
      <c r="O74" s="13" t="s">
        <v>842</v>
      </c>
      <c r="P74" s="14">
        <f t="shared" si="8"/>
        <v>45982</v>
      </c>
      <c r="Q74" s="62">
        <f t="shared" si="9"/>
        <v>30</v>
      </c>
      <c r="R74" s="13" t="s">
        <v>24</v>
      </c>
      <c r="S74" s="13"/>
      <c r="T74" s="17">
        <f t="shared" si="6"/>
        <v>-0.33333333333333331</v>
      </c>
    </row>
    <row r="75" spans="1:20" s="16" customFormat="1" x14ac:dyDescent="0.2">
      <c r="A75" s="13" t="s">
        <v>752</v>
      </c>
      <c r="B75" s="13" t="s">
        <v>480</v>
      </c>
      <c r="C75" s="68" t="s">
        <v>564</v>
      </c>
      <c r="D75" s="14">
        <v>45948</v>
      </c>
      <c r="E75" s="13" t="s">
        <v>765</v>
      </c>
      <c r="F75" s="13" t="s">
        <v>759</v>
      </c>
      <c r="G75" s="68">
        <v>56000</v>
      </c>
      <c r="H75" s="55">
        <v>7</v>
      </c>
      <c r="I75" s="14">
        <v>45949</v>
      </c>
      <c r="J75" s="55">
        <f t="shared" si="7"/>
        <v>1</v>
      </c>
      <c r="K75" s="89">
        <v>1</v>
      </c>
      <c r="L75" s="89" t="s">
        <v>732</v>
      </c>
      <c r="M75" s="56" t="str">
        <f t="shared" si="5"/>
        <v>100</v>
      </c>
      <c r="N75" s="104" t="str" cm="1">
        <f t="array" ref="N75">_xlfn.IFS(J75&gt;=H75,"0",J75&lt;H75,"100")</f>
        <v>100</v>
      </c>
      <c r="O75" s="13" t="s">
        <v>843</v>
      </c>
      <c r="P75" s="14">
        <f t="shared" si="8"/>
        <v>45979</v>
      </c>
      <c r="Q75" s="62">
        <f t="shared" si="9"/>
        <v>30</v>
      </c>
      <c r="R75" s="13" t="s">
        <v>24</v>
      </c>
      <c r="S75" s="13"/>
      <c r="T75" s="17">
        <f t="shared" si="6"/>
        <v>-0.14285714285714285</v>
      </c>
    </row>
    <row r="76" spans="1:20" s="16" customFormat="1" x14ac:dyDescent="0.2">
      <c r="A76" s="13" t="s">
        <v>752</v>
      </c>
      <c r="B76" s="13" t="s">
        <v>480</v>
      </c>
      <c r="C76" s="68" t="s">
        <v>565</v>
      </c>
      <c r="D76" s="14">
        <v>45949</v>
      </c>
      <c r="E76" s="13" t="s">
        <v>765</v>
      </c>
      <c r="F76" s="13" t="s">
        <v>759</v>
      </c>
      <c r="G76" s="68">
        <v>161435.85</v>
      </c>
      <c r="H76" s="55">
        <v>10</v>
      </c>
      <c r="I76" s="14">
        <v>45950</v>
      </c>
      <c r="J76" s="55">
        <f t="shared" si="7"/>
        <v>1</v>
      </c>
      <c r="K76" s="89">
        <v>1</v>
      </c>
      <c r="L76" s="89" t="s">
        <v>732</v>
      </c>
      <c r="M76" s="56" t="str">
        <f t="shared" si="5"/>
        <v>100</v>
      </c>
      <c r="N76" s="104" t="str" cm="1">
        <f t="array" ref="N76">_xlfn.IFS(J76&gt;=H76,"0",J76&lt;H76,"100")</f>
        <v>100</v>
      </c>
      <c r="O76" s="13" t="s">
        <v>844</v>
      </c>
      <c r="P76" s="14">
        <f t="shared" si="8"/>
        <v>45980</v>
      </c>
      <c r="Q76" s="62">
        <f t="shared" si="9"/>
        <v>30</v>
      </c>
      <c r="R76" s="13" t="s">
        <v>24</v>
      </c>
      <c r="S76" s="13"/>
      <c r="T76" s="17">
        <f t="shared" si="6"/>
        <v>-0.1</v>
      </c>
    </row>
    <row r="77" spans="1:20" s="16" customFormat="1" x14ac:dyDescent="0.2">
      <c r="A77" s="13" t="s">
        <v>755</v>
      </c>
      <c r="B77" s="13" t="s">
        <v>749</v>
      </c>
      <c r="C77" s="68" t="s">
        <v>566</v>
      </c>
      <c r="D77" s="14">
        <v>45950</v>
      </c>
      <c r="E77" s="13" t="s">
        <v>728</v>
      </c>
      <c r="F77" s="13" t="s">
        <v>760</v>
      </c>
      <c r="G77" s="68">
        <v>20000</v>
      </c>
      <c r="H77" s="55">
        <v>7</v>
      </c>
      <c r="I77" s="14">
        <v>45951</v>
      </c>
      <c r="J77" s="55">
        <f t="shared" si="7"/>
        <v>1</v>
      </c>
      <c r="K77" s="89">
        <v>1</v>
      </c>
      <c r="L77" s="89" t="s">
        <v>732</v>
      </c>
      <c r="M77" s="56" t="str">
        <f t="shared" si="5"/>
        <v>100</v>
      </c>
      <c r="N77" s="104" t="str" cm="1">
        <f t="array" ref="N77">_xlfn.IFS(J77&gt;=H77,"0",J77&lt;H77,"100")</f>
        <v>100</v>
      </c>
      <c r="O77" s="13" t="s">
        <v>845</v>
      </c>
      <c r="P77" s="14">
        <f t="shared" si="8"/>
        <v>45981</v>
      </c>
      <c r="Q77" s="62">
        <f t="shared" si="9"/>
        <v>30</v>
      </c>
      <c r="R77" s="13" t="s">
        <v>24</v>
      </c>
      <c r="S77" s="13"/>
      <c r="T77" s="17">
        <f t="shared" si="6"/>
        <v>-0.14285714285714285</v>
      </c>
    </row>
    <row r="78" spans="1:20" s="16" customFormat="1" x14ac:dyDescent="0.2">
      <c r="A78" s="13" t="s">
        <v>755</v>
      </c>
      <c r="B78" s="13" t="s">
        <v>749</v>
      </c>
      <c r="C78" s="68" t="s">
        <v>567</v>
      </c>
      <c r="D78" s="14">
        <v>45951</v>
      </c>
      <c r="E78" s="13" t="s">
        <v>728</v>
      </c>
      <c r="F78" s="13" t="s">
        <v>760</v>
      </c>
      <c r="G78" s="68">
        <v>40000</v>
      </c>
      <c r="H78" s="55">
        <v>7</v>
      </c>
      <c r="I78" s="14">
        <v>45952</v>
      </c>
      <c r="J78" s="55">
        <f t="shared" si="7"/>
        <v>1</v>
      </c>
      <c r="K78" s="89">
        <v>1</v>
      </c>
      <c r="L78" s="89" t="s">
        <v>732</v>
      </c>
      <c r="M78" s="56" t="str">
        <f t="shared" si="5"/>
        <v>100</v>
      </c>
      <c r="N78" s="104" t="str" cm="1">
        <f t="array" ref="N78">_xlfn.IFS(J78&gt;=H78,"0",J78&lt;H78,"100")</f>
        <v>100</v>
      </c>
      <c r="O78" s="13" t="s">
        <v>846</v>
      </c>
      <c r="P78" s="14">
        <f t="shared" si="8"/>
        <v>45982</v>
      </c>
      <c r="Q78" s="62">
        <f t="shared" si="9"/>
        <v>30</v>
      </c>
      <c r="R78" s="13" t="s">
        <v>24</v>
      </c>
      <c r="S78" s="13"/>
      <c r="T78" s="17">
        <f t="shared" si="6"/>
        <v>-0.14285714285714285</v>
      </c>
    </row>
    <row r="79" spans="1:20" s="16" customFormat="1" x14ac:dyDescent="0.2">
      <c r="A79" s="13" t="s">
        <v>752</v>
      </c>
      <c r="B79" s="13" t="s">
        <v>480</v>
      </c>
      <c r="C79" s="68" t="s">
        <v>568</v>
      </c>
      <c r="D79" s="14">
        <v>45952</v>
      </c>
      <c r="E79" s="13" t="s">
        <v>765</v>
      </c>
      <c r="F79" s="13" t="s">
        <v>759</v>
      </c>
      <c r="G79" s="78">
        <v>2050</v>
      </c>
      <c r="H79" s="75">
        <v>7</v>
      </c>
      <c r="I79" s="14">
        <v>45953</v>
      </c>
      <c r="J79" s="55">
        <f t="shared" si="7"/>
        <v>1</v>
      </c>
      <c r="K79" s="89">
        <v>1</v>
      </c>
      <c r="L79" s="91" t="s">
        <v>732</v>
      </c>
      <c r="M79" s="56" t="str">
        <f t="shared" si="5"/>
        <v>100</v>
      </c>
      <c r="N79" s="104" t="str" cm="1">
        <f t="array" ref="N79">_xlfn.IFS(J79&gt;=H79,"0",J79&lt;H79,"100")</f>
        <v>100</v>
      </c>
      <c r="O79" s="13" t="s">
        <v>847</v>
      </c>
      <c r="P79" s="14">
        <f t="shared" si="8"/>
        <v>45983</v>
      </c>
      <c r="Q79" s="62">
        <f t="shared" si="9"/>
        <v>30</v>
      </c>
      <c r="R79" s="13" t="s">
        <v>24</v>
      </c>
      <c r="S79" s="13"/>
      <c r="T79" s="17">
        <f t="shared" si="6"/>
        <v>-0.14285714285714285</v>
      </c>
    </row>
    <row r="80" spans="1:20" s="16" customFormat="1" x14ac:dyDescent="0.2">
      <c r="A80" s="13" t="s">
        <v>750</v>
      </c>
      <c r="B80" s="13" t="s">
        <v>481</v>
      </c>
      <c r="C80" s="68" t="s">
        <v>569</v>
      </c>
      <c r="D80" s="14">
        <v>45953</v>
      </c>
      <c r="E80" s="13" t="s">
        <v>767</v>
      </c>
      <c r="F80" s="13" t="s">
        <v>766</v>
      </c>
      <c r="G80" s="77">
        <v>2265.5</v>
      </c>
      <c r="H80" s="61">
        <v>7</v>
      </c>
      <c r="I80" s="14">
        <v>45958</v>
      </c>
      <c r="J80" s="55">
        <f t="shared" si="7"/>
        <v>5</v>
      </c>
      <c r="K80" s="89">
        <v>5</v>
      </c>
      <c r="L80" s="89" t="s">
        <v>732</v>
      </c>
      <c r="M80" s="56" t="str">
        <f t="shared" si="5"/>
        <v>100</v>
      </c>
      <c r="N80" s="104" t="str" cm="1">
        <f t="array" ref="N80">_xlfn.IFS(J80&gt;=H80,"0",J80&lt;H80,"100")</f>
        <v>100</v>
      </c>
      <c r="O80" s="13" t="s">
        <v>848</v>
      </c>
      <c r="P80" s="14">
        <f t="shared" si="8"/>
        <v>45988</v>
      </c>
      <c r="Q80" s="62">
        <f t="shared" si="9"/>
        <v>30</v>
      </c>
      <c r="R80" s="13" t="s">
        <v>24</v>
      </c>
      <c r="S80" s="13"/>
      <c r="T80" s="17">
        <f t="shared" si="6"/>
        <v>-0.7142857142857143</v>
      </c>
    </row>
    <row r="81" spans="1:20" s="16" customFormat="1" x14ac:dyDescent="0.2">
      <c r="A81" s="13" t="s">
        <v>750</v>
      </c>
      <c r="B81" s="13" t="s">
        <v>481</v>
      </c>
      <c r="C81" s="68" t="s">
        <v>570</v>
      </c>
      <c r="D81" s="14">
        <v>45954</v>
      </c>
      <c r="E81" s="13" t="s">
        <v>767</v>
      </c>
      <c r="F81" s="13" t="s">
        <v>766</v>
      </c>
      <c r="G81" s="81">
        <v>1000000</v>
      </c>
      <c r="H81" s="61">
        <v>15</v>
      </c>
      <c r="I81" s="14">
        <v>45959</v>
      </c>
      <c r="J81" s="55">
        <f t="shared" si="7"/>
        <v>5</v>
      </c>
      <c r="K81" s="89">
        <v>5</v>
      </c>
      <c r="L81" s="89" t="s">
        <v>732</v>
      </c>
      <c r="M81" s="56" t="str">
        <f t="shared" si="5"/>
        <v>100</v>
      </c>
      <c r="N81" s="104" t="str" cm="1">
        <f t="array" ref="N81">_xlfn.IFS(J81&gt;=H81,"0",J81&lt;H81,"100")</f>
        <v>100</v>
      </c>
      <c r="O81" s="13" t="s">
        <v>849</v>
      </c>
      <c r="P81" s="14">
        <f t="shared" si="8"/>
        <v>45989</v>
      </c>
      <c r="Q81" s="62">
        <f t="shared" si="9"/>
        <v>30</v>
      </c>
      <c r="R81" s="13" t="s">
        <v>24</v>
      </c>
      <c r="S81" s="13"/>
      <c r="T81" s="17">
        <f t="shared" si="6"/>
        <v>-0.33333333333333331</v>
      </c>
    </row>
    <row r="82" spans="1:20" s="16" customFormat="1" x14ac:dyDescent="0.2">
      <c r="A82" s="13" t="s">
        <v>755</v>
      </c>
      <c r="B82" s="13" t="s">
        <v>749</v>
      </c>
      <c r="C82" s="68" t="s">
        <v>571</v>
      </c>
      <c r="D82" s="14">
        <v>45955</v>
      </c>
      <c r="E82" s="13" t="s">
        <v>728</v>
      </c>
      <c r="F82" s="13" t="s">
        <v>760</v>
      </c>
      <c r="G82" s="82">
        <v>15000</v>
      </c>
      <c r="H82" s="55">
        <v>7</v>
      </c>
      <c r="I82" s="14">
        <v>45960</v>
      </c>
      <c r="J82" s="55">
        <f t="shared" si="7"/>
        <v>5</v>
      </c>
      <c r="K82" s="89">
        <v>5</v>
      </c>
      <c r="L82" s="89" t="s">
        <v>732</v>
      </c>
      <c r="M82" s="56" t="str">
        <f t="shared" si="5"/>
        <v>100</v>
      </c>
      <c r="N82" s="104" t="str" cm="1">
        <f t="array" ref="N82">_xlfn.IFS(J82&gt;=H82,"0",J82&lt;H82,"100")</f>
        <v>100</v>
      </c>
      <c r="O82" s="13" t="s">
        <v>850</v>
      </c>
      <c r="P82" s="14">
        <f t="shared" si="8"/>
        <v>45990</v>
      </c>
      <c r="Q82" s="62">
        <f t="shared" si="9"/>
        <v>30</v>
      </c>
      <c r="R82" s="13" t="s">
        <v>24</v>
      </c>
      <c r="S82" s="13"/>
      <c r="T82" s="17">
        <f t="shared" si="6"/>
        <v>-0.7142857142857143</v>
      </c>
    </row>
    <row r="83" spans="1:20" s="16" customFormat="1" x14ac:dyDescent="0.2">
      <c r="A83" s="13" t="s">
        <v>752</v>
      </c>
      <c r="B83" s="13" t="s">
        <v>480</v>
      </c>
      <c r="C83" s="68" t="s">
        <v>572</v>
      </c>
      <c r="D83" s="14">
        <v>45956</v>
      </c>
      <c r="E83" s="13" t="s">
        <v>765</v>
      </c>
      <c r="F83" s="13" t="s">
        <v>759</v>
      </c>
      <c r="G83" s="68">
        <v>800</v>
      </c>
      <c r="H83" s="55">
        <v>7</v>
      </c>
      <c r="I83" s="14">
        <v>45961</v>
      </c>
      <c r="J83" s="55">
        <f t="shared" si="7"/>
        <v>5</v>
      </c>
      <c r="K83" s="89">
        <v>5</v>
      </c>
      <c r="L83" s="91" t="s">
        <v>732</v>
      </c>
      <c r="M83" s="56" t="str">
        <f t="shared" si="5"/>
        <v>100</v>
      </c>
      <c r="N83" s="104" t="str" cm="1">
        <f t="array" ref="N83">_xlfn.IFS(J83&gt;=H83,"0",J83&lt;H83,"100")</f>
        <v>100</v>
      </c>
      <c r="O83" s="13" t="s">
        <v>851</v>
      </c>
      <c r="P83" s="14">
        <f t="shared" si="8"/>
        <v>45991</v>
      </c>
      <c r="Q83" s="62">
        <f t="shared" si="9"/>
        <v>30</v>
      </c>
      <c r="R83" s="13" t="s">
        <v>24</v>
      </c>
      <c r="S83" s="13"/>
      <c r="T83" s="17">
        <f t="shared" si="6"/>
        <v>-0.7142857142857143</v>
      </c>
    </row>
    <row r="84" spans="1:20" s="16" customFormat="1" x14ac:dyDescent="0.2">
      <c r="A84" s="13" t="s">
        <v>752</v>
      </c>
      <c r="B84" s="13" t="s">
        <v>480</v>
      </c>
      <c r="C84" s="68" t="s">
        <v>573</v>
      </c>
      <c r="D84" s="14">
        <v>45957</v>
      </c>
      <c r="E84" s="13" t="s">
        <v>765</v>
      </c>
      <c r="F84" s="13" t="s">
        <v>759</v>
      </c>
      <c r="G84" s="68">
        <v>665</v>
      </c>
      <c r="H84" s="55">
        <v>7</v>
      </c>
      <c r="I84" s="14">
        <v>45962</v>
      </c>
      <c r="J84" s="55">
        <f t="shared" si="7"/>
        <v>5</v>
      </c>
      <c r="K84" s="89">
        <v>5</v>
      </c>
      <c r="L84" s="91" t="s">
        <v>732</v>
      </c>
      <c r="M84" s="56" t="str">
        <f t="shared" si="5"/>
        <v>100</v>
      </c>
      <c r="N84" s="104" t="str" cm="1">
        <f t="array" ref="N84">_xlfn.IFS(J84&gt;=H84,"0",J84&lt;H84,"100")</f>
        <v>100</v>
      </c>
      <c r="O84" s="13" t="s">
        <v>852</v>
      </c>
      <c r="P84" s="14">
        <f t="shared" si="8"/>
        <v>45992</v>
      </c>
      <c r="Q84" s="62">
        <f t="shared" si="9"/>
        <v>30</v>
      </c>
      <c r="R84" s="13" t="s">
        <v>24</v>
      </c>
      <c r="S84" s="13"/>
      <c r="T84" s="17">
        <f t="shared" si="6"/>
        <v>-0.7142857142857143</v>
      </c>
    </row>
    <row r="85" spans="1:20" s="16" customFormat="1" x14ac:dyDescent="0.2">
      <c r="A85" s="13" t="s">
        <v>750</v>
      </c>
      <c r="B85" s="13" t="s">
        <v>481</v>
      </c>
      <c r="C85" s="68" t="s">
        <v>574</v>
      </c>
      <c r="D85" s="14">
        <v>45958</v>
      </c>
      <c r="E85" s="13" t="s">
        <v>767</v>
      </c>
      <c r="F85" s="13" t="s">
        <v>766</v>
      </c>
      <c r="G85" s="68">
        <v>49801.9</v>
      </c>
      <c r="H85" s="55">
        <v>7</v>
      </c>
      <c r="I85" s="14">
        <v>45963</v>
      </c>
      <c r="J85" s="55">
        <f t="shared" si="7"/>
        <v>5</v>
      </c>
      <c r="K85" s="89">
        <v>5</v>
      </c>
      <c r="L85" s="91" t="s">
        <v>732</v>
      </c>
      <c r="M85" s="56" t="str">
        <f t="shared" si="5"/>
        <v>100</v>
      </c>
      <c r="N85" s="104" t="str" cm="1">
        <f t="array" ref="N85">_xlfn.IFS(J85&gt;=H85,"0",J85&lt;H85,"100")</f>
        <v>100</v>
      </c>
      <c r="O85" s="13" t="s">
        <v>853</v>
      </c>
      <c r="P85" s="14">
        <f t="shared" si="8"/>
        <v>45993</v>
      </c>
      <c r="Q85" s="62">
        <f t="shared" si="9"/>
        <v>30</v>
      </c>
      <c r="R85" s="13" t="s">
        <v>24</v>
      </c>
      <c r="S85" s="13"/>
      <c r="T85" s="17">
        <f t="shared" si="6"/>
        <v>-0.7142857142857143</v>
      </c>
    </row>
    <row r="86" spans="1:20" s="16" customFormat="1" x14ac:dyDescent="0.2">
      <c r="A86" s="13" t="s">
        <v>752</v>
      </c>
      <c r="B86" s="13" t="s">
        <v>480</v>
      </c>
      <c r="C86" s="68" t="s">
        <v>575</v>
      </c>
      <c r="D86" s="14">
        <v>45959</v>
      </c>
      <c r="E86" s="13" t="s">
        <v>765</v>
      </c>
      <c r="F86" s="13" t="s">
        <v>759</v>
      </c>
      <c r="G86" s="78">
        <v>1150</v>
      </c>
      <c r="H86" s="75">
        <v>7</v>
      </c>
      <c r="I86" s="14">
        <v>45964</v>
      </c>
      <c r="J86" s="55">
        <f t="shared" si="7"/>
        <v>5</v>
      </c>
      <c r="K86" s="89">
        <v>5</v>
      </c>
      <c r="L86" s="91" t="s">
        <v>732</v>
      </c>
      <c r="M86" s="56" t="str">
        <f t="shared" si="5"/>
        <v>100</v>
      </c>
      <c r="N86" s="104" t="str" cm="1">
        <f t="array" ref="N86">_xlfn.IFS(J86&gt;=H86,"0",J86&lt;H86,"100")</f>
        <v>100</v>
      </c>
      <c r="O86" s="13" t="s">
        <v>854</v>
      </c>
      <c r="P86" s="14">
        <f t="shared" si="8"/>
        <v>45994</v>
      </c>
      <c r="Q86" s="62">
        <f t="shared" si="9"/>
        <v>30</v>
      </c>
      <c r="R86" s="13" t="s">
        <v>24</v>
      </c>
      <c r="S86" s="13"/>
      <c r="T86" s="17">
        <f t="shared" si="6"/>
        <v>-0.7142857142857143</v>
      </c>
    </row>
    <row r="87" spans="1:20" s="16" customFormat="1" x14ac:dyDescent="0.2">
      <c r="A87" s="13" t="s">
        <v>752</v>
      </c>
      <c r="B87" s="13" t="s">
        <v>480</v>
      </c>
      <c r="C87" s="68" t="s">
        <v>576</v>
      </c>
      <c r="D87" s="14">
        <v>45960</v>
      </c>
      <c r="E87" s="13" t="s">
        <v>765</v>
      </c>
      <c r="F87" s="13" t="s">
        <v>759</v>
      </c>
      <c r="G87" s="78">
        <v>1029.25</v>
      </c>
      <c r="H87" s="75">
        <v>7</v>
      </c>
      <c r="I87" s="14">
        <v>45965</v>
      </c>
      <c r="J87" s="55">
        <f t="shared" si="7"/>
        <v>5</v>
      </c>
      <c r="K87" s="89">
        <v>5</v>
      </c>
      <c r="L87" s="91" t="s">
        <v>732</v>
      </c>
      <c r="M87" s="56" t="str">
        <f t="shared" si="5"/>
        <v>100</v>
      </c>
      <c r="N87" s="104" t="str" cm="1">
        <f t="array" ref="N87">_xlfn.IFS(J87&gt;=H87,"0",J87&lt;H87,"100")</f>
        <v>100</v>
      </c>
      <c r="O87" s="13" t="s">
        <v>855</v>
      </c>
      <c r="P87" s="14">
        <f t="shared" si="8"/>
        <v>45995</v>
      </c>
      <c r="Q87" s="62">
        <f t="shared" si="9"/>
        <v>30</v>
      </c>
      <c r="R87" s="13" t="s">
        <v>24</v>
      </c>
      <c r="S87" s="13"/>
      <c r="T87" s="17">
        <f t="shared" si="6"/>
        <v>-0.7142857142857143</v>
      </c>
    </row>
    <row r="88" spans="1:20" s="16" customFormat="1" x14ac:dyDescent="0.2">
      <c r="A88" s="13" t="s">
        <v>752</v>
      </c>
      <c r="B88" s="13" t="s">
        <v>480</v>
      </c>
      <c r="C88" s="68" t="s">
        <v>577</v>
      </c>
      <c r="D88" s="14">
        <v>45961</v>
      </c>
      <c r="E88" s="13" t="s">
        <v>765</v>
      </c>
      <c r="F88" s="13" t="s">
        <v>759</v>
      </c>
      <c r="G88" s="78">
        <v>485.85</v>
      </c>
      <c r="H88" s="75">
        <v>7</v>
      </c>
      <c r="I88" s="14">
        <v>45962</v>
      </c>
      <c r="J88" s="55">
        <f t="shared" si="7"/>
        <v>1</v>
      </c>
      <c r="K88" s="89">
        <v>1</v>
      </c>
      <c r="L88" s="91" t="s">
        <v>732</v>
      </c>
      <c r="M88" s="56" t="str">
        <f t="shared" si="5"/>
        <v>100</v>
      </c>
      <c r="N88" s="104" t="str" cm="1">
        <f t="array" ref="N88">_xlfn.IFS(J88&gt;=H88,"0",J88&lt;H88,"100")</f>
        <v>100</v>
      </c>
      <c r="O88" s="13" t="s">
        <v>856</v>
      </c>
      <c r="P88" s="14">
        <f t="shared" si="8"/>
        <v>45992</v>
      </c>
      <c r="Q88" s="62">
        <f t="shared" si="9"/>
        <v>30</v>
      </c>
      <c r="R88" s="13" t="s">
        <v>24</v>
      </c>
      <c r="S88" s="13"/>
      <c r="T88" s="17">
        <f t="shared" si="6"/>
        <v>-0.14285714285714285</v>
      </c>
    </row>
    <row r="89" spans="1:20" s="16" customFormat="1" x14ac:dyDescent="0.2">
      <c r="A89" s="13" t="s">
        <v>752</v>
      </c>
      <c r="B89" s="13" t="s">
        <v>480</v>
      </c>
      <c r="C89" s="68" t="s">
        <v>578</v>
      </c>
      <c r="D89" s="14">
        <v>45933</v>
      </c>
      <c r="E89" s="13" t="s">
        <v>765</v>
      </c>
      <c r="F89" s="13" t="s">
        <v>759</v>
      </c>
      <c r="G89" s="78">
        <v>1900</v>
      </c>
      <c r="H89" s="75">
        <v>7</v>
      </c>
      <c r="I89" s="14">
        <v>45936</v>
      </c>
      <c r="J89" s="55">
        <f t="shared" si="7"/>
        <v>3</v>
      </c>
      <c r="K89" s="89">
        <v>3</v>
      </c>
      <c r="L89" s="91" t="s">
        <v>732</v>
      </c>
      <c r="M89" s="56" t="str">
        <f t="shared" si="5"/>
        <v>100</v>
      </c>
      <c r="N89" s="104" t="str" cm="1">
        <f t="array" ref="N89">_xlfn.IFS(J89&gt;=H89,"0",J89&lt;H89,"100")</f>
        <v>100</v>
      </c>
      <c r="O89" s="13" t="s">
        <v>857</v>
      </c>
      <c r="P89" s="14">
        <f t="shared" si="8"/>
        <v>45966</v>
      </c>
      <c r="Q89" s="62">
        <f t="shared" si="9"/>
        <v>30</v>
      </c>
      <c r="R89" s="13" t="s">
        <v>24</v>
      </c>
      <c r="S89" s="13"/>
      <c r="T89" s="17">
        <f t="shared" si="6"/>
        <v>-0.42857142857142855</v>
      </c>
    </row>
    <row r="90" spans="1:20" s="16" customFormat="1" x14ac:dyDescent="0.2">
      <c r="A90" s="13" t="s">
        <v>752</v>
      </c>
      <c r="B90" s="13" t="s">
        <v>480</v>
      </c>
      <c r="C90" s="68" t="s">
        <v>579</v>
      </c>
      <c r="D90" s="14">
        <v>45934</v>
      </c>
      <c r="E90" s="13" t="s">
        <v>765</v>
      </c>
      <c r="F90" s="13" t="s">
        <v>759</v>
      </c>
      <c r="G90" s="78">
        <v>1052</v>
      </c>
      <c r="H90" s="75">
        <v>7</v>
      </c>
      <c r="I90" s="14">
        <v>45937</v>
      </c>
      <c r="J90" s="55">
        <f t="shared" si="7"/>
        <v>3</v>
      </c>
      <c r="K90" s="89">
        <v>3</v>
      </c>
      <c r="L90" s="91" t="s">
        <v>732</v>
      </c>
      <c r="M90" s="56" t="str">
        <f t="shared" si="5"/>
        <v>100</v>
      </c>
      <c r="N90" s="104" t="str" cm="1">
        <f t="array" ref="N90">_xlfn.IFS(J90&gt;=H90,"0",J90&lt;H90,"100")</f>
        <v>100</v>
      </c>
      <c r="O90" s="13" t="s">
        <v>858</v>
      </c>
      <c r="P90" s="14">
        <f t="shared" si="8"/>
        <v>45967</v>
      </c>
      <c r="Q90" s="62">
        <f t="shared" si="9"/>
        <v>30</v>
      </c>
      <c r="R90" s="13" t="s">
        <v>24</v>
      </c>
      <c r="S90" s="13"/>
      <c r="T90" s="17">
        <f t="shared" si="6"/>
        <v>-0.42857142857142855</v>
      </c>
    </row>
    <row r="91" spans="1:20" s="16" customFormat="1" x14ac:dyDescent="0.2">
      <c r="A91" s="13" t="s">
        <v>752</v>
      </c>
      <c r="B91" s="13" t="s">
        <v>480</v>
      </c>
      <c r="C91" s="68" t="s">
        <v>580</v>
      </c>
      <c r="D91" s="14">
        <v>45935</v>
      </c>
      <c r="E91" s="13" t="s">
        <v>765</v>
      </c>
      <c r="F91" s="13" t="s">
        <v>759</v>
      </c>
      <c r="G91" s="78">
        <v>1863</v>
      </c>
      <c r="H91" s="75">
        <v>7</v>
      </c>
      <c r="I91" s="14">
        <v>45938</v>
      </c>
      <c r="J91" s="55">
        <f t="shared" si="7"/>
        <v>3</v>
      </c>
      <c r="K91" s="89">
        <v>3</v>
      </c>
      <c r="L91" s="91" t="s">
        <v>732</v>
      </c>
      <c r="M91" s="56" t="str">
        <f t="shared" si="5"/>
        <v>100</v>
      </c>
      <c r="N91" s="104" t="str" cm="1">
        <f t="array" ref="N91">_xlfn.IFS(J91&gt;=H91,"0",J91&lt;H91,"100")</f>
        <v>100</v>
      </c>
      <c r="O91" s="13" t="s">
        <v>859</v>
      </c>
      <c r="P91" s="14">
        <f t="shared" si="8"/>
        <v>45968</v>
      </c>
      <c r="Q91" s="62">
        <f t="shared" si="9"/>
        <v>30</v>
      </c>
      <c r="R91" s="13" t="s">
        <v>24</v>
      </c>
      <c r="S91" s="13"/>
      <c r="T91" s="17">
        <f t="shared" si="6"/>
        <v>-0.42857142857142855</v>
      </c>
    </row>
    <row r="92" spans="1:20" s="16" customFormat="1" x14ac:dyDescent="0.2">
      <c r="A92" s="13" t="s">
        <v>752</v>
      </c>
      <c r="B92" s="13" t="s">
        <v>480</v>
      </c>
      <c r="C92" s="68" t="s">
        <v>581</v>
      </c>
      <c r="D92" s="14">
        <v>45936</v>
      </c>
      <c r="E92" s="13" t="s">
        <v>765</v>
      </c>
      <c r="F92" s="13" t="s">
        <v>759</v>
      </c>
      <c r="G92" s="68">
        <v>4550</v>
      </c>
      <c r="H92" s="55">
        <v>7</v>
      </c>
      <c r="I92" s="14">
        <v>45939</v>
      </c>
      <c r="J92" s="55">
        <f t="shared" si="7"/>
        <v>3</v>
      </c>
      <c r="K92" s="89">
        <v>3</v>
      </c>
      <c r="L92" s="89" t="s">
        <v>732</v>
      </c>
      <c r="M92" s="56" t="str">
        <f t="shared" si="5"/>
        <v>100</v>
      </c>
      <c r="N92" s="104" t="str" cm="1">
        <f t="array" ref="N92">_xlfn.IFS(J92&gt;=H92,"0",J92&lt;H92,"100")</f>
        <v>100</v>
      </c>
      <c r="O92" s="13" t="s">
        <v>860</v>
      </c>
      <c r="P92" s="14">
        <f t="shared" si="8"/>
        <v>45969</v>
      </c>
      <c r="Q92" s="62">
        <f t="shared" si="9"/>
        <v>30</v>
      </c>
      <c r="R92" s="13" t="s">
        <v>51</v>
      </c>
      <c r="S92" s="13"/>
      <c r="T92" s="17">
        <f t="shared" si="6"/>
        <v>-0.42857142857142855</v>
      </c>
    </row>
    <row r="93" spans="1:20" s="16" customFormat="1" x14ac:dyDescent="0.2">
      <c r="A93" s="13" t="s">
        <v>752</v>
      </c>
      <c r="B93" s="13" t="s">
        <v>480</v>
      </c>
      <c r="C93" s="68" t="s">
        <v>582</v>
      </c>
      <c r="D93" s="14">
        <v>45937</v>
      </c>
      <c r="E93" s="13" t="s">
        <v>765</v>
      </c>
      <c r="F93" s="13" t="s">
        <v>759</v>
      </c>
      <c r="G93" s="68">
        <v>28118</v>
      </c>
      <c r="H93" s="55">
        <v>7</v>
      </c>
      <c r="I93" s="14">
        <v>45940</v>
      </c>
      <c r="J93" s="55">
        <f t="shared" si="7"/>
        <v>3</v>
      </c>
      <c r="K93" s="89">
        <v>3</v>
      </c>
      <c r="L93" s="89" t="s">
        <v>732</v>
      </c>
      <c r="M93" s="56" t="str">
        <f t="shared" si="5"/>
        <v>100</v>
      </c>
      <c r="N93" s="104" t="str" cm="1">
        <f t="array" ref="N93">_xlfn.IFS(J93&gt;=H93,"0",J93&lt;H93,"100")</f>
        <v>100</v>
      </c>
      <c r="O93" s="13" t="s">
        <v>861</v>
      </c>
      <c r="P93" s="14">
        <f t="shared" si="8"/>
        <v>45970</v>
      </c>
      <c r="Q93" s="62">
        <f t="shared" si="9"/>
        <v>30</v>
      </c>
      <c r="R93" s="13" t="s">
        <v>51</v>
      </c>
      <c r="S93" s="13"/>
      <c r="T93" s="17">
        <f t="shared" si="6"/>
        <v>-0.42857142857142855</v>
      </c>
    </row>
    <row r="94" spans="1:20" s="16" customFormat="1" x14ac:dyDescent="0.2">
      <c r="A94" s="13" t="s">
        <v>752</v>
      </c>
      <c r="B94" s="13" t="s">
        <v>480</v>
      </c>
      <c r="C94" s="68" t="s">
        <v>583</v>
      </c>
      <c r="D94" s="14">
        <v>45938</v>
      </c>
      <c r="E94" s="13" t="s">
        <v>765</v>
      </c>
      <c r="F94" s="13" t="s">
        <v>759</v>
      </c>
      <c r="G94" s="68">
        <v>31450</v>
      </c>
      <c r="H94" s="55">
        <v>7</v>
      </c>
      <c r="I94" s="14">
        <v>45941</v>
      </c>
      <c r="J94" s="55">
        <f t="shared" si="7"/>
        <v>3</v>
      </c>
      <c r="K94" s="89">
        <v>3</v>
      </c>
      <c r="L94" s="89" t="s">
        <v>732</v>
      </c>
      <c r="M94" s="56" t="str">
        <f t="shared" si="5"/>
        <v>100</v>
      </c>
      <c r="N94" s="104" t="str" cm="1">
        <f t="array" ref="N94">_xlfn.IFS(J94&gt;=H94,"0",J94&lt;H94,"100")</f>
        <v>100</v>
      </c>
      <c r="O94" s="13" t="s">
        <v>862</v>
      </c>
      <c r="P94" s="14">
        <f t="shared" si="8"/>
        <v>45971</v>
      </c>
      <c r="Q94" s="62">
        <f t="shared" si="9"/>
        <v>30</v>
      </c>
      <c r="R94" s="13" t="s">
        <v>51</v>
      </c>
      <c r="S94" s="13"/>
      <c r="T94" s="17">
        <f t="shared" si="6"/>
        <v>-0.42857142857142855</v>
      </c>
    </row>
    <row r="95" spans="1:20" s="16" customFormat="1" x14ac:dyDescent="0.2">
      <c r="A95" s="13" t="s">
        <v>752</v>
      </c>
      <c r="B95" s="13" t="s">
        <v>480</v>
      </c>
      <c r="C95" s="68" t="s">
        <v>584</v>
      </c>
      <c r="D95" s="14">
        <v>45939</v>
      </c>
      <c r="E95" s="13" t="s">
        <v>765</v>
      </c>
      <c r="F95" s="13" t="s">
        <v>759</v>
      </c>
      <c r="G95" s="68">
        <v>26500</v>
      </c>
      <c r="H95" s="55">
        <v>7</v>
      </c>
      <c r="I95" s="14">
        <v>45942</v>
      </c>
      <c r="J95" s="55">
        <f t="shared" si="7"/>
        <v>3</v>
      </c>
      <c r="K95" s="89">
        <v>3</v>
      </c>
      <c r="L95" s="89" t="s">
        <v>732</v>
      </c>
      <c r="M95" s="56" t="str">
        <f t="shared" si="5"/>
        <v>100</v>
      </c>
      <c r="N95" s="104" t="str" cm="1">
        <f t="array" ref="N95">_xlfn.IFS(J95&gt;=H95,"0",J95&lt;H95,"100")</f>
        <v>100</v>
      </c>
      <c r="O95" s="13" t="s">
        <v>863</v>
      </c>
      <c r="P95" s="14">
        <f t="shared" si="8"/>
        <v>45972</v>
      </c>
      <c r="Q95" s="62">
        <f t="shared" si="9"/>
        <v>30</v>
      </c>
      <c r="R95" s="13" t="s">
        <v>51</v>
      </c>
      <c r="S95" s="13"/>
      <c r="T95" s="17">
        <f t="shared" si="6"/>
        <v>-0.42857142857142855</v>
      </c>
    </row>
    <row r="96" spans="1:20" s="16" customFormat="1" x14ac:dyDescent="0.2">
      <c r="A96" s="13" t="s">
        <v>752</v>
      </c>
      <c r="B96" s="13" t="s">
        <v>480</v>
      </c>
      <c r="C96" s="68" t="s">
        <v>585</v>
      </c>
      <c r="D96" s="14">
        <v>45940</v>
      </c>
      <c r="E96" s="13" t="s">
        <v>765</v>
      </c>
      <c r="F96" s="13" t="s">
        <v>759</v>
      </c>
      <c r="G96" s="68">
        <v>480</v>
      </c>
      <c r="H96" s="55">
        <v>7</v>
      </c>
      <c r="I96" s="14">
        <v>45943</v>
      </c>
      <c r="J96" s="55">
        <f t="shared" si="7"/>
        <v>3</v>
      </c>
      <c r="K96" s="89">
        <v>3</v>
      </c>
      <c r="L96" s="89" t="s">
        <v>732</v>
      </c>
      <c r="M96" s="56" t="str">
        <f t="shared" si="5"/>
        <v>100</v>
      </c>
      <c r="N96" s="104" t="str" cm="1">
        <f t="array" ref="N96">_xlfn.IFS(J96&gt;=H96,"0",J96&lt;H96,"100")</f>
        <v>100</v>
      </c>
      <c r="O96" s="13" t="s">
        <v>864</v>
      </c>
      <c r="P96" s="14">
        <f t="shared" si="8"/>
        <v>45973</v>
      </c>
      <c r="Q96" s="62">
        <f t="shared" si="9"/>
        <v>30</v>
      </c>
      <c r="R96" s="13" t="s">
        <v>51</v>
      </c>
      <c r="S96" s="13"/>
      <c r="T96" s="17">
        <f t="shared" si="6"/>
        <v>-0.42857142857142855</v>
      </c>
    </row>
    <row r="97" spans="1:20" s="16" customFormat="1" x14ac:dyDescent="0.2">
      <c r="A97" s="13" t="s">
        <v>752</v>
      </c>
      <c r="B97" s="13" t="s">
        <v>480</v>
      </c>
      <c r="C97" s="68" t="s">
        <v>586</v>
      </c>
      <c r="D97" s="14">
        <v>45941</v>
      </c>
      <c r="E97" s="13" t="s">
        <v>765</v>
      </c>
      <c r="F97" s="13" t="s">
        <v>759</v>
      </c>
      <c r="G97" s="68">
        <v>235</v>
      </c>
      <c r="H97" s="55">
        <v>7</v>
      </c>
      <c r="I97" s="14">
        <v>45944</v>
      </c>
      <c r="J97" s="55">
        <f t="shared" si="7"/>
        <v>3</v>
      </c>
      <c r="K97" s="89">
        <v>3</v>
      </c>
      <c r="L97" s="89" t="s">
        <v>732</v>
      </c>
      <c r="M97" s="56" t="str">
        <f t="shared" si="5"/>
        <v>100</v>
      </c>
      <c r="N97" s="104" t="str" cm="1">
        <f t="array" ref="N97">_xlfn.IFS(J97&gt;=H97,"0",J97&lt;H97,"100")</f>
        <v>100</v>
      </c>
      <c r="O97" s="13" t="s">
        <v>865</v>
      </c>
      <c r="P97" s="14">
        <f t="shared" si="8"/>
        <v>45974</v>
      </c>
      <c r="Q97" s="62">
        <f t="shared" si="9"/>
        <v>30</v>
      </c>
      <c r="R97" s="13" t="s">
        <v>51</v>
      </c>
      <c r="S97" s="13"/>
      <c r="T97" s="17">
        <f t="shared" si="6"/>
        <v>-0.42857142857142855</v>
      </c>
    </row>
    <row r="98" spans="1:20" s="16" customFormat="1" x14ac:dyDescent="0.2">
      <c r="A98" s="13" t="s">
        <v>752</v>
      </c>
      <c r="B98" s="13" t="s">
        <v>480</v>
      </c>
      <c r="C98" s="68" t="s">
        <v>587</v>
      </c>
      <c r="D98" s="14">
        <v>45942</v>
      </c>
      <c r="E98" s="13" t="s">
        <v>765</v>
      </c>
      <c r="F98" s="13" t="s">
        <v>759</v>
      </c>
      <c r="G98" s="68">
        <v>740</v>
      </c>
      <c r="H98" s="55">
        <v>7</v>
      </c>
      <c r="I98" s="14">
        <v>45945</v>
      </c>
      <c r="J98" s="55">
        <f t="shared" si="7"/>
        <v>3</v>
      </c>
      <c r="K98" s="89">
        <v>3</v>
      </c>
      <c r="L98" s="89" t="s">
        <v>732</v>
      </c>
      <c r="M98" s="56" t="str">
        <f t="shared" si="5"/>
        <v>100</v>
      </c>
      <c r="N98" s="104" t="str" cm="1">
        <f t="array" ref="N98">_xlfn.IFS(J98&gt;=H98,"0",J98&lt;H98,"100")</f>
        <v>100</v>
      </c>
      <c r="O98" s="13" t="s">
        <v>866</v>
      </c>
      <c r="P98" s="14">
        <f t="shared" si="8"/>
        <v>45975</v>
      </c>
      <c r="Q98" s="62">
        <f t="shared" si="9"/>
        <v>30</v>
      </c>
      <c r="R98" s="13" t="s">
        <v>51</v>
      </c>
      <c r="S98" s="13"/>
      <c r="T98" s="17">
        <f t="shared" si="6"/>
        <v>-0.42857142857142855</v>
      </c>
    </row>
    <row r="99" spans="1:20" s="16" customFormat="1" x14ac:dyDescent="0.2">
      <c r="A99" s="13" t="s">
        <v>752</v>
      </c>
      <c r="B99" s="13" t="s">
        <v>480</v>
      </c>
      <c r="C99" s="68" t="s">
        <v>588</v>
      </c>
      <c r="D99" s="14">
        <v>45943</v>
      </c>
      <c r="E99" s="13" t="s">
        <v>765</v>
      </c>
      <c r="F99" s="13" t="s">
        <v>759</v>
      </c>
      <c r="G99" s="68">
        <v>6000</v>
      </c>
      <c r="H99" s="55">
        <v>7</v>
      </c>
      <c r="I99" s="14">
        <v>45946</v>
      </c>
      <c r="J99" s="55">
        <f t="shared" si="7"/>
        <v>3</v>
      </c>
      <c r="K99" s="89">
        <v>3</v>
      </c>
      <c r="L99" s="91" t="s">
        <v>732</v>
      </c>
      <c r="M99" s="56" t="str">
        <f t="shared" si="5"/>
        <v>100</v>
      </c>
      <c r="N99" s="104" t="str" cm="1">
        <f t="array" ref="N99">_xlfn.IFS(J99&gt;=H99,"0",J99&lt;H99,"100")</f>
        <v>100</v>
      </c>
      <c r="O99" s="13" t="s">
        <v>867</v>
      </c>
      <c r="P99" s="14">
        <f t="shared" si="8"/>
        <v>45976</v>
      </c>
      <c r="Q99" s="62">
        <f t="shared" si="9"/>
        <v>30</v>
      </c>
      <c r="R99" s="13" t="s">
        <v>51</v>
      </c>
      <c r="S99" s="13"/>
      <c r="T99" s="17">
        <f t="shared" si="6"/>
        <v>-0.42857142857142855</v>
      </c>
    </row>
    <row r="100" spans="1:20" s="16" customFormat="1" x14ac:dyDescent="0.2">
      <c r="A100" s="13" t="s">
        <v>755</v>
      </c>
      <c r="B100" s="13" t="s">
        <v>749</v>
      </c>
      <c r="C100" s="68" t="s">
        <v>589</v>
      </c>
      <c r="D100" s="14">
        <v>45944</v>
      </c>
      <c r="E100" s="13" t="s">
        <v>728</v>
      </c>
      <c r="F100" s="13" t="s">
        <v>760</v>
      </c>
      <c r="G100" s="68">
        <v>21431.4</v>
      </c>
      <c r="H100" s="55">
        <v>7</v>
      </c>
      <c r="I100" s="14">
        <v>45947</v>
      </c>
      <c r="J100" s="55">
        <f t="shared" si="7"/>
        <v>3</v>
      </c>
      <c r="K100" s="89">
        <v>3</v>
      </c>
      <c r="L100" s="91" t="s">
        <v>732</v>
      </c>
      <c r="M100" s="56" t="str">
        <f t="shared" si="5"/>
        <v>100</v>
      </c>
      <c r="N100" s="104" t="str" cm="1">
        <f t="array" ref="N100">_xlfn.IFS(J100&gt;=H100,"0",J100&lt;H100,"100")</f>
        <v>100</v>
      </c>
      <c r="O100" s="13" t="s">
        <v>868</v>
      </c>
      <c r="P100" s="14">
        <f t="shared" si="8"/>
        <v>45977</v>
      </c>
      <c r="Q100" s="62">
        <f t="shared" si="9"/>
        <v>30</v>
      </c>
      <c r="R100" s="13" t="s">
        <v>51</v>
      </c>
      <c r="S100" s="13"/>
      <c r="T100" s="17">
        <f t="shared" si="6"/>
        <v>-0.42857142857142855</v>
      </c>
    </row>
    <row r="101" spans="1:20" s="16" customFormat="1" x14ac:dyDescent="0.2">
      <c r="A101" s="13" t="s">
        <v>752</v>
      </c>
      <c r="B101" s="13" t="s">
        <v>480</v>
      </c>
      <c r="C101" s="68" t="s">
        <v>590</v>
      </c>
      <c r="D101" s="14">
        <v>45945</v>
      </c>
      <c r="E101" s="13" t="s">
        <v>765</v>
      </c>
      <c r="F101" s="13" t="s">
        <v>759</v>
      </c>
      <c r="G101" s="68">
        <v>494000</v>
      </c>
      <c r="H101" s="55">
        <v>15</v>
      </c>
      <c r="I101" s="14">
        <v>45948</v>
      </c>
      <c r="J101" s="55">
        <f t="shared" si="7"/>
        <v>3</v>
      </c>
      <c r="K101" s="89">
        <v>3</v>
      </c>
      <c r="L101" s="89" t="s">
        <v>732</v>
      </c>
      <c r="M101" s="56" t="str">
        <f t="shared" si="5"/>
        <v>100</v>
      </c>
      <c r="N101" s="104" t="str" cm="1">
        <f t="array" ref="N101">_xlfn.IFS(J101&gt;=H101,"0",J101&lt;H101,"100")</f>
        <v>100</v>
      </c>
      <c r="O101" s="13" t="s">
        <v>869</v>
      </c>
      <c r="P101" s="14">
        <f t="shared" si="8"/>
        <v>45978</v>
      </c>
      <c r="Q101" s="62">
        <f t="shared" si="9"/>
        <v>30</v>
      </c>
      <c r="R101" s="13" t="s">
        <v>51</v>
      </c>
      <c r="S101" s="13"/>
      <c r="T101" s="17">
        <f t="shared" si="6"/>
        <v>-0.2</v>
      </c>
    </row>
    <row r="102" spans="1:20" s="16" customFormat="1" x14ac:dyDescent="0.2">
      <c r="A102" s="13" t="s">
        <v>755</v>
      </c>
      <c r="B102" s="13" t="s">
        <v>749</v>
      </c>
      <c r="C102" s="68" t="s">
        <v>591</v>
      </c>
      <c r="D102" s="14">
        <v>45946</v>
      </c>
      <c r="E102" s="13" t="s">
        <v>728</v>
      </c>
      <c r="F102" s="13" t="s">
        <v>760</v>
      </c>
      <c r="G102" s="68">
        <v>4500</v>
      </c>
      <c r="H102" s="55">
        <v>7</v>
      </c>
      <c r="I102" s="14">
        <v>45949</v>
      </c>
      <c r="J102" s="55">
        <f t="shared" si="7"/>
        <v>3</v>
      </c>
      <c r="K102" s="89">
        <v>3</v>
      </c>
      <c r="L102" s="89" t="s">
        <v>732</v>
      </c>
      <c r="M102" s="56" t="str">
        <f t="shared" si="5"/>
        <v>100</v>
      </c>
      <c r="N102" s="104" t="str" cm="1">
        <f t="array" ref="N102">_xlfn.IFS(J102&gt;=H102,"0",J102&lt;H102,"100")</f>
        <v>100</v>
      </c>
      <c r="O102" s="13" t="s">
        <v>870</v>
      </c>
      <c r="P102" s="14">
        <f t="shared" si="8"/>
        <v>45979</v>
      </c>
      <c r="Q102" s="62">
        <f t="shared" si="9"/>
        <v>30</v>
      </c>
      <c r="R102" s="13" t="s">
        <v>51</v>
      </c>
      <c r="S102" s="13"/>
      <c r="T102" s="17">
        <f t="shared" si="6"/>
        <v>-0.42857142857142855</v>
      </c>
    </row>
    <row r="103" spans="1:20" s="16" customFormat="1" x14ac:dyDescent="0.2">
      <c r="A103" s="13" t="s">
        <v>755</v>
      </c>
      <c r="B103" s="13" t="s">
        <v>749</v>
      </c>
      <c r="C103" s="68" t="s">
        <v>592</v>
      </c>
      <c r="D103" s="14">
        <v>45947</v>
      </c>
      <c r="E103" s="13" t="s">
        <v>728</v>
      </c>
      <c r="F103" s="13" t="s">
        <v>761</v>
      </c>
      <c r="G103" s="68">
        <v>4500</v>
      </c>
      <c r="H103" s="55">
        <v>7</v>
      </c>
      <c r="I103" s="14">
        <v>45950</v>
      </c>
      <c r="J103" s="55">
        <f t="shared" si="7"/>
        <v>3</v>
      </c>
      <c r="K103" s="89">
        <v>3</v>
      </c>
      <c r="L103" s="89" t="s">
        <v>732</v>
      </c>
      <c r="M103" s="56" t="str">
        <f t="shared" si="5"/>
        <v>100</v>
      </c>
      <c r="N103" s="104" t="str" cm="1">
        <f t="array" ref="N103">_xlfn.IFS(J103&gt;=H103,"0",J103&lt;H103,"100")</f>
        <v>100</v>
      </c>
      <c r="O103" s="13" t="s">
        <v>871</v>
      </c>
      <c r="P103" s="14">
        <f t="shared" si="8"/>
        <v>45980</v>
      </c>
      <c r="Q103" s="62">
        <f t="shared" si="9"/>
        <v>30</v>
      </c>
      <c r="R103" s="13" t="s">
        <v>51</v>
      </c>
      <c r="S103" s="13"/>
      <c r="T103" s="17">
        <f t="shared" si="6"/>
        <v>-0.42857142857142855</v>
      </c>
    </row>
    <row r="104" spans="1:20" s="16" customFormat="1" x14ac:dyDescent="0.2">
      <c r="A104" s="13" t="s">
        <v>755</v>
      </c>
      <c r="B104" s="13" t="s">
        <v>749</v>
      </c>
      <c r="C104" s="68" t="s">
        <v>593</v>
      </c>
      <c r="D104" s="14">
        <v>45948</v>
      </c>
      <c r="E104" s="13" t="s">
        <v>727</v>
      </c>
      <c r="F104" s="13" t="s">
        <v>761</v>
      </c>
      <c r="G104" s="68">
        <v>402.5</v>
      </c>
      <c r="H104" s="55">
        <v>7</v>
      </c>
      <c r="I104" s="14">
        <v>45951</v>
      </c>
      <c r="J104" s="55">
        <f t="shared" si="7"/>
        <v>3</v>
      </c>
      <c r="K104" s="89">
        <v>3</v>
      </c>
      <c r="L104" s="89" t="s">
        <v>732</v>
      </c>
      <c r="M104" s="56" t="str">
        <f t="shared" si="5"/>
        <v>100</v>
      </c>
      <c r="N104" s="104" t="str" cm="1">
        <f t="array" ref="N104">_xlfn.IFS(J104&gt;=H104,"0",J104&lt;H104,"100")</f>
        <v>100</v>
      </c>
      <c r="O104" s="13" t="s">
        <v>872</v>
      </c>
      <c r="P104" s="14">
        <f t="shared" si="8"/>
        <v>45981</v>
      </c>
      <c r="Q104" s="62">
        <f t="shared" si="9"/>
        <v>30</v>
      </c>
      <c r="R104" s="13" t="s">
        <v>51</v>
      </c>
      <c r="S104" s="13"/>
      <c r="T104" s="17">
        <f t="shared" si="6"/>
        <v>-0.42857142857142855</v>
      </c>
    </row>
    <row r="105" spans="1:20" s="16" customFormat="1" x14ac:dyDescent="0.2">
      <c r="A105" s="13" t="s">
        <v>755</v>
      </c>
      <c r="B105" s="13" t="s">
        <v>749</v>
      </c>
      <c r="C105" s="68" t="s">
        <v>594</v>
      </c>
      <c r="D105" s="14">
        <v>45949</v>
      </c>
      <c r="E105" s="13" t="s">
        <v>727</v>
      </c>
      <c r="F105" s="13" t="s">
        <v>761</v>
      </c>
      <c r="G105" s="68">
        <v>70000</v>
      </c>
      <c r="H105" s="55">
        <v>7</v>
      </c>
      <c r="I105" s="14">
        <v>45952</v>
      </c>
      <c r="J105" s="55">
        <f t="shared" si="7"/>
        <v>3</v>
      </c>
      <c r="K105" s="89">
        <v>3</v>
      </c>
      <c r="L105" s="89" t="s">
        <v>732</v>
      </c>
      <c r="M105" s="56" t="str">
        <f t="shared" si="5"/>
        <v>100</v>
      </c>
      <c r="N105" s="104" t="str" cm="1">
        <f t="array" ref="N105">_xlfn.IFS(J105&gt;=H105,"0",J105&lt;H105,"100")</f>
        <v>100</v>
      </c>
      <c r="O105" s="13" t="s">
        <v>873</v>
      </c>
      <c r="P105" s="14">
        <f t="shared" si="8"/>
        <v>45982</v>
      </c>
      <c r="Q105" s="62">
        <f t="shared" si="9"/>
        <v>30</v>
      </c>
      <c r="R105" s="13" t="s">
        <v>51</v>
      </c>
      <c r="S105" s="13"/>
      <c r="T105" s="17">
        <f t="shared" si="6"/>
        <v>-0.42857142857142855</v>
      </c>
    </row>
    <row r="106" spans="1:20" s="16" customFormat="1" x14ac:dyDescent="0.2">
      <c r="A106" s="13" t="s">
        <v>752</v>
      </c>
      <c r="B106" s="13" t="s">
        <v>480</v>
      </c>
      <c r="C106" s="68" t="s">
        <v>595</v>
      </c>
      <c r="D106" s="14">
        <v>45950</v>
      </c>
      <c r="E106" s="13" t="s">
        <v>765</v>
      </c>
      <c r="F106" s="13" t="s">
        <v>759</v>
      </c>
      <c r="G106" s="68">
        <v>420</v>
      </c>
      <c r="H106" s="55">
        <v>7</v>
      </c>
      <c r="I106" s="14">
        <v>45953</v>
      </c>
      <c r="J106" s="55">
        <f t="shared" si="7"/>
        <v>3</v>
      </c>
      <c r="K106" s="89">
        <v>3</v>
      </c>
      <c r="L106" s="91" t="s">
        <v>732</v>
      </c>
      <c r="M106" s="56" t="str">
        <f t="shared" si="5"/>
        <v>100</v>
      </c>
      <c r="N106" s="104" t="str" cm="1">
        <f t="array" ref="N106">_xlfn.IFS(J106&gt;=H106,"0",J106&lt;H106,"100")</f>
        <v>100</v>
      </c>
      <c r="O106" s="13" t="s">
        <v>874</v>
      </c>
      <c r="P106" s="14">
        <f t="shared" si="8"/>
        <v>45983</v>
      </c>
      <c r="Q106" s="62">
        <f t="shared" si="9"/>
        <v>30</v>
      </c>
      <c r="R106" s="45" t="s">
        <v>24</v>
      </c>
      <c r="S106" s="13"/>
      <c r="T106" s="17">
        <f t="shared" si="6"/>
        <v>-0.42857142857142855</v>
      </c>
    </row>
    <row r="107" spans="1:20" s="16" customFormat="1" x14ac:dyDescent="0.2">
      <c r="A107" s="13" t="s">
        <v>752</v>
      </c>
      <c r="B107" s="13" t="s">
        <v>480</v>
      </c>
      <c r="C107" s="68" t="s">
        <v>596</v>
      </c>
      <c r="D107" s="14">
        <v>45951</v>
      </c>
      <c r="E107" s="13" t="s">
        <v>765</v>
      </c>
      <c r="F107" s="13" t="s">
        <v>759</v>
      </c>
      <c r="G107" s="68">
        <v>420</v>
      </c>
      <c r="H107" s="55">
        <v>7</v>
      </c>
      <c r="I107" s="14">
        <v>45954</v>
      </c>
      <c r="J107" s="55">
        <f t="shared" si="7"/>
        <v>3</v>
      </c>
      <c r="K107" s="89">
        <v>3</v>
      </c>
      <c r="L107" s="91" t="s">
        <v>732</v>
      </c>
      <c r="M107" s="56" t="str">
        <f t="shared" si="5"/>
        <v>100</v>
      </c>
      <c r="N107" s="104" t="str" cm="1">
        <f t="array" ref="N107">_xlfn.IFS(J107&gt;=H107,"0",J107&lt;H107,"100")</f>
        <v>100</v>
      </c>
      <c r="O107" s="13" t="s">
        <v>875</v>
      </c>
      <c r="P107" s="14">
        <f t="shared" si="8"/>
        <v>45984</v>
      </c>
      <c r="Q107" s="62">
        <f t="shared" si="9"/>
        <v>30</v>
      </c>
      <c r="R107" s="45" t="s">
        <v>24</v>
      </c>
      <c r="S107" s="13"/>
      <c r="T107" s="17">
        <f t="shared" si="6"/>
        <v>-0.42857142857142855</v>
      </c>
    </row>
    <row r="108" spans="1:20" s="16" customFormat="1" x14ac:dyDescent="0.2">
      <c r="A108" s="13" t="s">
        <v>752</v>
      </c>
      <c r="B108" s="13" t="s">
        <v>480</v>
      </c>
      <c r="C108" s="68" t="s">
        <v>597</v>
      </c>
      <c r="D108" s="14">
        <v>45952</v>
      </c>
      <c r="E108" s="13" t="s">
        <v>765</v>
      </c>
      <c r="F108" s="13" t="s">
        <v>759</v>
      </c>
      <c r="G108" s="68">
        <v>220</v>
      </c>
      <c r="H108" s="55">
        <v>7</v>
      </c>
      <c r="I108" s="14">
        <v>45955</v>
      </c>
      <c r="J108" s="55">
        <f t="shared" si="7"/>
        <v>3</v>
      </c>
      <c r="K108" s="89">
        <v>3</v>
      </c>
      <c r="L108" s="91" t="s">
        <v>732</v>
      </c>
      <c r="M108" s="56" t="str">
        <f t="shared" si="5"/>
        <v>100</v>
      </c>
      <c r="N108" s="104" t="str" cm="1">
        <f t="array" ref="N108">_xlfn.IFS(J108&gt;=H108,"0",J108&lt;H108,"100")</f>
        <v>100</v>
      </c>
      <c r="O108" s="13" t="s">
        <v>876</v>
      </c>
      <c r="P108" s="14">
        <f t="shared" si="8"/>
        <v>45985</v>
      </c>
      <c r="Q108" s="62">
        <f t="shared" si="9"/>
        <v>30</v>
      </c>
      <c r="R108" s="45" t="s">
        <v>24</v>
      </c>
      <c r="S108" s="13"/>
      <c r="T108" s="17">
        <f t="shared" si="6"/>
        <v>-0.42857142857142855</v>
      </c>
    </row>
    <row r="109" spans="1:20" s="16" customFormat="1" x14ac:dyDescent="0.2">
      <c r="A109" s="13" t="s">
        <v>752</v>
      </c>
      <c r="B109" s="13" t="s">
        <v>480</v>
      </c>
      <c r="C109" s="68" t="s">
        <v>598</v>
      </c>
      <c r="D109" s="14">
        <v>45953</v>
      </c>
      <c r="E109" s="13" t="s">
        <v>765</v>
      </c>
      <c r="F109" s="13" t="s">
        <v>759</v>
      </c>
      <c r="G109" s="68">
        <v>97</v>
      </c>
      <c r="H109" s="55">
        <v>7</v>
      </c>
      <c r="I109" s="14">
        <v>45956</v>
      </c>
      <c r="J109" s="55">
        <f t="shared" si="7"/>
        <v>3</v>
      </c>
      <c r="K109" s="89">
        <v>3</v>
      </c>
      <c r="L109" s="91" t="s">
        <v>732</v>
      </c>
      <c r="M109" s="56" t="str">
        <f t="shared" si="5"/>
        <v>100</v>
      </c>
      <c r="N109" s="104" t="str" cm="1">
        <f t="array" ref="N109">_xlfn.IFS(J109&gt;=H109,"0",J109&lt;H109,"100")</f>
        <v>100</v>
      </c>
      <c r="O109" s="13" t="s">
        <v>877</v>
      </c>
      <c r="P109" s="14">
        <f t="shared" si="8"/>
        <v>45986</v>
      </c>
      <c r="Q109" s="62">
        <f t="shared" si="9"/>
        <v>30</v>
      </c>
      <c r="R109" s="13" t="s">
        <v>51</v>
      </c>
      <c r="S109" s="13"/>
      <c r="T109" s="17">
        <f t="shared" si="6"/>
        <v>-0.42857142857142855</v>
      </c>
    </row>
    <row r="110" spans="1:20" s="16" customFormat="1" x14ac:dyDescent="0.2">
      <c r="A110" s="13" t="s">
        <v>752</v>
      </c>
      <c r="B110" s="13" t="s">
        <v>480</v>
      </c>
      <c r="C110" s="68" t="s">
        <v>599</v>
      </c>
      <c r="D110" s="14">
        <v>45954</v>
      </c>
      <c r="E110" s="13" t="s">
        <v>765</v>
      </c>
      <c r="F110" s="13" t="s">
        <v>759</v>
      </c>
      <c r="G110" s="68">
        <v>426.1</v>
      </c>
      <c r="H110" s="55">
        <v>7</v>
      </c>
      <c r="I110" s="14">
        <v>45957</v>
      </c>
      <c r="J110" s="55">
        <f t="shared" si="7"/>
        <v>3</v>
      </c>
      <c r="K110" s="89">
        <v>3</v>
      </c>
      <c r="L110" s="91" t="s">
        <v>732</v>
      </c>
      <c r="M110" s="56" t="str">
        <f t="shared" si="5"/>
        <v>100</v>
      </c>
      <c r="N110" s="104" t="str" cm="1">
        <f t="array" ref="N110">_xlfn.IFS(J110&gt;=H110,"0",J110&lt;H110,"100")</f>
        <v>100</v>
      </c>
      <c r="O110" s="13" t="s">
        <v>878</v>
      </c>
      <c r="P110" s="14">
        <f t="shared" si="8"/>
        <v>45987</v>
      </c>
      <c r="Q110" s="62">
        <f t="shared" si="9"/>
        <v>30</v>
      </c>
      <c r="R110" s="13" t="s">
        <v>51</v>
      </c>
      <c r="S110" s="13"/>
      <c r="T110" s="17">
        <f t="shared" si="6"/>
        <v>-0.42857142857142855</v>
      </c>
    </row>
    <row r="111" spans="1:20" s="16" customFormat="1" x14ac:dyDescent="0.2">
      <c r="A111" s="13" t="s">
        <v>752</v>
      </c>
      <c r="B111" s="13" t="s">
        <v>480</v>
      </c>
      <c r="C111" s="68" t="s">
        <v>600</v>
      </c>
      <c r="D111" s="14">
        <v>45955</v>
      </c>
      <c r="E111" s="86" t="s">
        <v>389</v>
      </c>
      <c r="F111" s="13" t="s">
        <v>759</v>
      </c>
      <c r="G111" s="68">
        <v>500</v>
      </c>
      <c r="H111" s="55">
        <v>7</v>
      </c>
      <c r="I111" s="14">
        <v>45958</v>
      </c>
      <c r="J111" s="55">
        <f t="shared" si="7"/>
        <v>3</v>
      </c>
      <c r="K111" s="89">
        <v>3</v>
      </c>
      <c r="L111" s="91" t="s">
        <v>732</v>
      </c>
      <c r="M111" s="56" t="str">
        <f t="shared" si="5"/>
        <v>100</v>
      </c>
      <c r="N111" s="104" t="str" cm="1">
        <f t="array" ref="N111">_xlfn.IFS(J111&gt;=H111,"0",J111&lt;H111,"100")</f>
        <v>100</v>
      </c>
      <c r="O111" s="13" t="s">
        <v>879</v>
      </c>
      <c r="P111" s="14">
        <f t="shared" si="8"/>
        <v>45988</v>
      </c>
      <c r="Q111" s="62">
        <f t="shared" si="9"/>
        <v>30</v>
      </c>
      <c r="R111" s="13" t="s">
        <v>51</v>
      </c>
      <c r="S111" s="13"/>
      <c r="T111" s="17">
        <f t="shared" si="6"/>
        <v>-0.42857142857142855</v>
      </c>
    </row>
    <row r="112" spans="1:20" s="16" customFormat="1" x14ac:dyDescent="0.2">
      <c r="A112" s="13" t="s">
        <v>752</v>
      </c>
      <c r="B112" s="13" t="s">
        <v>480</v>
      </c>
      <c r="C112" s="68" t="s">
        <v>601</v>
      </c>
      <c r="D112" s="14">
        <v>45956</v>
      </c>
      <c r="E112" s="86" t="s">
        <v>389</v>
      </c>
      <c r="F112" s="13" t="s">
        <v>759</v>
      </c>
      <c r="G112" s="68">
        <v>1350</v>
      </c>
      <c r="H112" s="55">
        <v>7</v>
      </c>
      <c r="I112" s="14">
        <v>45959</v>
      </c>
      <c r="J112" s="55">
        <f t="shared" si="7"/>
        <v>3</v>
      </c>
      <c r="K112" s="89">
        <v>3</v>
      </c>
      <c r="L112" s="91" t="s">
        <v>732</v>
      </c>
      <c r="M112" s="56" t="str">
        <f t="shared" si="5"/>
        <v>100</v>
      </c>
      <c r="N112" s="104" t="str" cm="1">
        <f t="array" ref="N112">_xlfn.IFS(J112&gt;=H112,"0",J112&lt;H112,"100")</f>
        <v>100</v>
      </c>
      <c r="O112" s="13" t="s">
        <v>880</v>
      </c>
      <c r="P112" s="14">
        <f t="shared" si="8"/>
        <v>45989</v>
      </c>
      <c r="Q112" s="62">
        <f t="shared" si="9"/>
        <v>30</v>
      </c>
      <c r="R112" s="13" t="s">
        <v>51</v>
      </c>
      <c r="S112" s="13"/>
      <c r="T112" s="17">
        <f t="shared" si="6"/>
        <v>-0.42857142857142855</v>
      </c>
    </row>
    <row r="113" spans="1:20" s="16" customFormat="1" x14ac:dyDescent="0.2">
      <c r="A113" s="13" t="s">
        <v>752</v>
      </c>
      <c r="B113" s="13" t="s">
        <v>480</v>
      </c>
      <c r="C113" s="68" t="s">
        <v>602</v>
      </c>
      <c r="D113" s="14">
        <v>45957</v>
      </c>
      <c r="E113" s="86" t="s">
        <v>389</v>
      </c>
      <c r="F113" s="13" t="s">
        <v>759</v>
      </c>
      <c r="G113" s="68">
        <v>50</v>
      </c>
      <c r="H113" s="55">
        <v>7</v>
      </c>
      <c r="I113" s="14">
        <v>45960</v>
      </c>
      <c r="J113" s="55">
        <f t="shared" si="7"/>
        <v>3</v>
      </c>
      <c r="K113" s="89">
        <v>3</v>
      </c>
      <c r="L113" s="91" t="s">
        <v>732</v>
      </c>
      <c r="M113" s="56" t="str">
        <f t="shared" si="5"/>
        <v>100</v>
      </c>
      <c r="N113" s="104" t="str" cm="1">
        <f t="array" ref="N113">_xlfn.IFS(J113&gt;=H113,"0",J113&lt;H113,"100")</f>
        <v>100</v>
      </c>
      <c r="O113" s="13" t="s">
        <v>881</v>
      </c>
      <c r="P113" s="14">
        <f t="shared" si="8"/>
        <v>45990</v>
      </c>
      <c r="Q113" s="62">
        <f t="shared" si="9"/>
        <v>30</v>
      </c>
      <c r="R113" s="13" t="s">
        <v>51</v>
      </c>
      <c r="S113" s="13"/>
      <c r="T113" s="17">
        <f t="shared" si="6"/>
        <v>-0.42857142857142855</v>
      </c>
    </row>
    <row r="114" spans="1:20" s="16" customFormat="1" x14ac:dyDescent="0.2">
      <c r="A114" s="13" t="s">
        <v>752</v>
      </c>
      <c r="B114" s="13" t="s">
        <v>480</v>
      </c>
      <c r="C114" s="68" t="s">
        <v>603</v>
      </c>
      <c r="D114" s="14">
        <v>45958</v>
      </c>
      <c r="E114" s="86" t="s">
        <v>389</v>
      </c>
      <c r="F114" s="13" t="s">
        <v>759</v>
      </c>
      <c r="G114" s="68">
        <v>4260</v>
      </c>
      <c r="H114" s="55">
        <v>7</v>
      </c>
      <c r="I114" s="14">
        <v>45961</v>
      </c>
      <c r="J114" s="55">
        <f t="shared" si="7"/>
        <v>3</v>
      </c>
      <c r="K114" s="89">
        <v>3</v>
      </c>
      <c r="L114" s="91" t="s">
        <v>732</v>
      </c>
      <c r="M114" s="56" t="str">
        <f t="shared" si="5"/>
        <v>100</v>
      </c>
      <c r="N114" s="104" t="str" cm="1">
        <f t="array" ref="N114">_xlfn.IFS(J114&gt;=H114,"0",J114&lt;H114,"100")</f>
        <v>100</v>
      </c>
      <c r="O114" s="13" t="s">
        <v>882</v>
      </c>
      <c r="P114" s="14">
        <f t="shared" si="8"/>
        <v>45991</v>
      </c>
      <c r="Q114" s="62">
        <f t="shared" si="9"/>
        <v>30</v>
      </c>
      <c r="R114" s="13" t="s">
        <v>51</v>
      </c>
      <c r="S114" s="13"/>
      <c r="T114" s="17">
        <f t="shared" si="6"/>
        <v>-0.42857142857142855</v>
      </c>
    </row>
    <row r="115" spans="1:20" s="16" customFormat="1" x14ac:dyDescent="0.2">
      <c r="A115" s="13" t="s">
        <v>752</v>
      </c>
      <c r="B115" s="13" t="s">
        <v>480</v>
      </c>
      <c r="C115" s="68" t="s">
        <v>604</v>
      </c>
      <c r="D115" s="14">
        <v>45959</v>
      </c>
      <c r="E115" s="86" t="s">
        <v>389</v>
      </c>
      <c r="F115" s="13" t="s">
        <v>759</v>
      </c>
      <c r="G115" s="68">
        <v>3220</v>
      </c>
      <c r="H115" s="55">
        <v>7</v>
      </c>
      <c r="I115" s="14">
        <v>45962</v>
      </c>
      <c r="J115" s="55">
        <f t="shared" si="7"/>
        <v>3</v>
      </c>
      <c r="K115" s="89">
        <v>3</v>
      </c>
      <c r="L115" s="90" t="s">
        <v>732</v>
      </c>
      <c r="M115" s="56" t="str">
        <f t="shared" si="5"/>
        <v>100</v>
      </c>
      <c r="N115" s="104" t="str" cm="1">
        <f t="array" ref="N115">_xlfn.IFS(J115&gt;=H115,"0",J115&lt;H115,"100")</f>
        <v>100</v>
      </c>
      <c r="O115" s="13" t="s">
        <v>883</v>
      </c>
      <c r="P115" s="14">
        <f t="shared" si="8"/>
        <v>45992</v>
      </c>
      <c r="Q115" s="62">
        <f t="shared" si="9"/>
        <v>30</v>
      </c>
      <c r="R115" s="13" t="s">
        <v>51</v>
      </c>
      <c r="S115" s="13"/>
      <c r="T115" s="17">
        <f t="shared" si="6"/>
        <v>-0.42857142857142855</v>
      </c>
    </row>
    <row r="116" spans="1:20" s="16" customFormat="1" x14ac:dyDescent="0.2">
      <c r="A116" s="13" t="s">
        <v>752</v>
      </c>
      <c r="B116" s="13" t="s">
        <v>480</v>
      </c>
      <c r="C116" s="68" t="s">
        <v>605</v>
      </c>
      <c r="D116" s="14">
        <v>45960</v>
      </c>
      <c r="E116" s="86" t="s">
        <v>389</v>
      </c>
      <c r="F116" s="13" t="s">
        <v>759</v>
      </c>
      <c r="G116" s="68">
        <v>1380</v>
      </c>
      <c r="H116" s="55">
        <v>7</v>
      </c>
      <c r="I116" s="14">
        <v>45963</v>
      </c>
      <c r="J116" s="55">
        <f t="shared" si="7"/>
        <v>3</v>
      </c>
      <c r="K116" s="89">
        <v>3</v>
      </c>
      <c r="L116" s="90" t="s">
        <v>732</v>
      </c>
      <c r="M116" s="56" t="str">
        <f t="shared" si="5"/>
        <v>100</v>
      </c>
      <c r="N116" s="104" t="str" cm="1">
        <f t="array" ref="N116">_xlfn.IFS(J116&gt;=H116,"0",J116&lt;H116,"100")</f>
        <v>100</v>
      </c>
      <c r="O116" s="13" t="s">
        <v>884</v>
      </c>
      <c r="P116" s="14">
        <f t="shared" si="8"/>
        <v>45993</v>
      </c>
      <c r="Q116" s="62">
        <f t="shared" si="9"/>
        <v>30</v>
      </c>
      <c r="R116" s="13" t="s">
        <v>51</v>
      </c>
      <c r="S116" s="13"/>
      <c r="T116" s="17">
        <f t="shared" si="6"/>
        <v>-0.42857142857142855</v>
      </c>
    </row>
    <row r="117" spans="1:20" s="16" customFormat="1" x14ac:dyDescent="0.2">
      <c r="A117" s="13" t="s">
        <v>752</v>
      </c>
      <c r="B117" s="13" t="s">
        <v>480</v>
      </c>
      <c r="C117" s="68" t="s">
        <v>606</v>
      </c>
      <c r="D117" s="14">
        <v>45961</v>
      </c>
      <c r="E117" s="13" t="s">
        <v>765</v>
      </c>
      <c r="F117" s="13" t="s">
        <v>759</v>
      </c>
      <c r="G117" s="68">
        <v>38700</v>
      </c>
      <c r="H117" s="55">
        <v>7</v>
      </c>
      <c r="I117" s="14">
        <v>45964</v>
      </c>
      <c r="J117" s="55">
        <f t="shared" si="7"/>
        <v>3</v>
      </c>
      <c r="K117" s="89">
        <v>3</v>
      </c>
      <c r="L117" s="89" t="s">
        <v>732</v>
      </c>
      <c r="M117" s="56" t="str">
        <f t="shared" si="5"/>
        <v>100</v>
      </c>
      <c r="N117" s="104" t="str" cm="1">
        <f t="array" ref="N117">_xlfn.IFS(J117&gt;=H117,"0",J117&lt;H117,"100")</f>
        <v>100</v>
      </c>
      <c r="O117" s="13" t="s">
        <v>885</v>
      </c>
      <c r="P117" s="14">
        <f t="shared" si="8"/>
        <v>45994</v>
      </c>
      <c r="Q117" s="62">
        <f t="shared" si="9"/>
        <v>30</v>
      </c>
      <c r="R117" s="13" t="s">
        <v>51</v>
      </c>
      <c r="S117" s="13"/>
      <c r="T117" s="17">
        <f t="shared" si="6"/>
        <v>-0.42857142857142855</v>
      </c>
    </row>
    <row r="118" spans="1:20" s="16" customFormat="1" x14ac:dyDescent="0.2">
      <c r="A118" s="13" t="s">
        <v>752</v>
      </c>
      <c r="B118" s="13" t="s">
        <v>480</v>
      </c>
      <c r="C118" s="68" t="s">
        <v>607</v>
      </c>
      <c r="D118" s="14">
        <v>45933</v>
      </c>
      <c r="E118" s="13" t="s">
        <v>765</v>
      </c>
      <c r="F118" s="13" t="s">
        <v>759</v>
      </c>
      <c r="G118" s="68">
        <v>2660.4</v>
      </c>
      <c r="H118" s="55">
        <v>7</v>
      </c>
      <c r="I118" s="14">
        <v>45938</v>
      </c>
      <c r="J118" s="55">
        <f t="shared" si="7"/>
        <v>5</v>
      </c>
      <c r="K118" s="89">
        <v>5</v>
      </c>
      <c r="L118" s="90" t="s">
        <v>732</v>
      </c>
      <c r="M118" s="56" t="str">
        <f t="shared" si="5"/>
        <v>100</v>
      </c>
      <c r="N118" s="104" t="str" cm="1">
        <f t="array" ref="N118">_xlfn.IFS(J118&gt;=H118,"0",J118&lt;H118,"100")</f>
        <v>100</v>
      </c>
      <c r="O118" s="13" t="s">
        <v>886</v>
      </c>
      <c r="P118" s="14">
        <f t="shared" si="8"/>
        <v>45968</v>
      </c>
      <c r="Q118" s="62">
        <f t="shared" si="9"/>
        <v>30</v>
      </c>
      <c r="R118" s="13" t="s">
        <v>51</v>
      </c>
      <c r="S118" s="13"/>
      <c r="T118" s="17">
        <f t="shared" si="6"/>
        <v>-0.7142857142857143</v>
      </c>
    </row>
    <row r="119" spans="1:20" s="16" customFormat="1" x14ac:dyDescent="0.2">
      <c r="A119" s="13" t="s">
        <v>750</v>
      </c>
      <c r="B119" s="13" t="s">
        <v>481</v>
      </c>
      <c r="C119" s="68" t="s">
        <v>608</v>
      </c>
      <c r="D119" s="14">
        <v>45934</v>
      </c>
      <c r="E119" s="13" t="s">
        <v>768</v>
      </c>
      <c r="F119" s="13" t="s">
        <v>766</v>
      </c>
      <c r="G119" s="68">
        <v>1109.06</v>
      </c>
      <c r="H119" s="55">
        <v>7</v>
      </c>
      <c r="I119" s="14">
        <v>45939</v>
      </c>
      <c r="J119" s="55">
        <f t="shared" si="7"/>
        <v>5</v>
      </c>
      <c r="K119" s="89">
        <v>5</v>
      </c>
      <c r="L119" s="91" t="s">
        <v>732</v>
      </c>
      <c r="M119" s="56" t="str">
        <f t="shared" si="5"/>
        <v>100</v>
      </c>
      <c r="N119" s="104" t="str" cm="1">
        <f t="array" ref="N119">_xlfn.IFS(J119&gt;=H119,"0",J119&lt;H119,"100")</f>
        <v>100</v>
      </c>
      <c r="O119" s="13" t="s">
        <v>887</v>
      </c>
      <c r="P119" s="14">
        <f t="shared" si="8"/>
        <v>45969</v>
      </c>
      <c r="Q119" s="62">
        <f t="shared" si="9"/>
        <v>30</v>
      </c>
      <c r="R119" s="13" t="s">
        <v>51</v>
      </c>
      <c r="S119" s="13"/>
      <c r="T119" s="17"/>
    </row>
    <row r="120" spans="1:20" s="16" customFormat="1" x14ac:dyDescent="0.2">
      <c r="A120" s="13" t="s">
        <v>750</v>
      </c>
      <c r="B120" s="13" t="s">
        <v>481</v>
      </c>
      <c r="C120" s="68" t="s">
        <v>609</v>
      </c>
      <c r="D120" s="14">
        <v>45935</v>
      </c>
      <c r="E120" s="13" t="s">
        <v>768</v>
      </c>
      <c r="F120" s="13" t="s">
        <v>766</v>
      </c>
      <c r="G120" s="68">
        <v>1109.06</v>
      </c>
      <c r="H120" s="55">
        <v>7</v>
      </c>
      <c r="I120" s="14">
        <v>45940</v>
      </c>
      <c r="J120" s="55">
        <f t="shared" si="7"/>
        <v>5</v>
      </c>
      <c r="K120" s="89">
        <v>5</v>
      </c>
      <c r="L120" s="91" t="s">
        <v>732</v>
      </c>
      <c r="M120" s="56" t="str">
        <f t="shared" si="5"/>
        <v>100</v>
      </c>
      <c r="N120" s="104" t="str" cm="1">
        <f t="array" ref="N120">_xlfn.IFS(J120&gt;=H120,"0",J120&lt;H120,"100")</f>
        <v>100</v>
      </c>
      <c r="O120" s="13" t="s">
        <v>888</v>
      </c>
      <c r="P120" s="14">
        <f t="shared" si="8"/>
        <v>45970</v>
      </c>
      <c r="Q120" s="62">
        <f t="shared" si="9"/>
        <v>30</v>
      </c>
      <c r="R120" s="13" t="s">
        <v>24</v>
      </c>
      <c r="S120" s="13"/>
      <c r="T120" s="17"/>
    </row>
    <row r="121" spans="1:20" s="16" customFormat="1" x14ac:dyDescent="0.2">
      <c r="A121" s="13" t="s">
        <v>750</v>
      </c>
      <c r="B121" s="13" t="s">
        <v>481</v>
      </c>
      <c r="C121" s="68" t="s">
        <v>610</v>
      </c>
      <c r="D121" s="14">
        <v>45936</v>
      </c>
      <c r="E121" s="13" t="s">
        <v>768</v>
      </c>
      <c r="F121" s="13" t="s">
        <v>766</v>
      </c>
      <c r="G121" s="68">
        <v>42780</v>
      </c>
      <c r="H121" s="55">
        <v>7</v>
      </c>
      <c r="I121" s="14">
        <v>45941</v>
      </c>
      <c r="J121" s="55">
        <f t="shared" si="7"/>
        <v>5</v>
      </c>
      <c r="K121" s="89">
        <v>5</v>
      </c>
      <c r="L121" s="89" t="s">
        <v>732</v>
      </c>
      <c r="M121" s="56" t="str">
        <f t="shared" si="5"/>
        <v>100</v>
      </c>
      <c r="N121" s="104" t="str" cm="1">
        <f t="array" ref="N121">_xlfn.IFS(J121&gt;=H121,"0",J121&lt;H121,"100")</f>
        <v>100</v>
      </c>
      <c r="O121" s="13" t="s">
        <v>889</v>
      </c>
      <c r="P121" s="14">
        <f t="shared" si="8"/>
        <v>45971</v>
      </c>
      <c r="Q121" s="62">
        <f t="shared" si="9"/>
        <v>30</v>
      </c>
      <c r="R121" s="13" t="s">
        <v>51</v>
      </c>
      <c r="S121" s="13"/>
      <c r="T121" s="17"/>
    </row>
    <row r="122" spans="1:20" s="16" customFormat="1" x14ac:dyDescent="0.2">
      <c r="A122" s="13" t="s">
        <v>752</v>
      </c>
      <c r="B122" s="13" t="s">
        <v>480</v>
      </c>
      <c r="C122" s="68" t="s">
        <v>611</v>
      </c>
      <c r="D122" s="14">
        <v>45937</v>
      </c>
      <c r="E122" s="13" t="s">
        <v>765</v>
      </c>
      <c r="F122" s="13" t="s">
        <v>759</v>
      </c>
      <c r="G122" s="68">
        <v>78649.5</v>
      </c>
      <c r="H122" s="58">
        <v>7</v>
      </c>
      <c r="I122" s="14">
        <v>45942</v>
      </c>
      <c r="J122" s="55">
        <f t="shared" si="7"/>
        <v>5</v>
      </c>
      <c r="K122" s="89">
        <v>5</v>
      </c>
      <c r="L122" s="90" t="s">
        <v>732</v>
      </c>
      <c r="M122" s="56" t="str">
        <f t="shared" si="5"/>
        <v>100</v>
      </c>
      <c r="N122" s="104" t="str" cm="1">
        <f t="array" ref="N122">_xlfn.IFS(J122&gt;=H122,"0",J122&lt;H122,"100")</f>
        <v>100</v>
      </c>
      <c r="O122" s="13" t="s">
        <v>890</v>
      </c>
      <c r="P122" s="14">
        <f t="shared" si="8"/>
        <v>45972</v>
      </c>
      <c r="Q122" s="62">
        <f t="shared" si="9"/>
        <v>30</v>
      </c>
      <c r="R122" s="13" t="s">
        <v>51</v>
      </c>
      <c r="S122" s="13"/>
      <c r="T122" s="17"/>
    </row>
    <row r="123" spans="1:20" s="16" customFormat="1" x14ac:dyDescent="0.2">
      <c r="A123" s="13" t="s">
        <v>752</v>
      </c>
      <c r="B123" s="13" t="s">
        <v>480</v>
      </c>
      <c r="C123" s="68" t="s">
        <v>612</v>
      </c>
      <c r="D123" s="14">
        <v>45938</v>
      </c>
      <c r="E123" s="13" t="s">
        <v>765</v>
      </c>
      <c r="F123" s="13" t="s">
        <v>759</v>
      </c>
      <c r="G123" s="68">
        <v>300.14999999999998</v>
      </c>
      <c r="H123" s="58">
        <v>7</v>
      </c>
      <c r="I123" s="14">
        <v>45943</v>
      </c>
      <c r="J123" s="55">
        <f t="shared" si="7"/>
        <v>5</v>
      </c>
      <c r="K123" s="89">
        <v>5</v>
      </c>
      <c r="L123" s="91" t="s">
        <v>732</v>
      </c>
      <c r="M123" s="56" t="str">
        <f t="shared" si="5"/>
        <v>100</v>
      </c>
      <c r="N123" s="104" t="str" cm="1">
        <f t="array" ref="N123">_xlfn.IFS(J123&gt;=H123,"0",J123&lt;H123,"100")</f>
        <v>100</v>
      </c>
      <c r="O123" s="13" t="s">
        <v>891</v>
      </c>
      <c r="P123" s="14">
        <f t="shared" si="8"/>
        <v>45973</v>
      </c>
      <c r="Q123" s="62">
        <f t="shared" si="9"/>
        <v>30</v>
      </c>
      <c r="R123" s="13" t="s">
        <v>51</v>
      </c>
      <c r="S123" s="13"/>
      <c r="T123" s="17"/>
    </row>
    <row r="124" spans="1:20" s="16" customFormat="1" x14ac:dyDescent="0.2">
      <c r="A124" s="13" t="s">
        <v>750</v>
      </c>
      <c r="B124" s="13" t="s">
        <v>481</v>
      </c>
      <c r="C124" s="68" t="s">
        <v>613</v>
      </c>
      <c r="D124" s="14">
        <v>45939</v>
      </c>
      <c r="E124" s="13" t="s">
        <v>768</v>
      </c>
      <c r="F124" s="13" t="s">
        <v>766</v>
      </c>
      <c r="G124" s="68">
        <v>1890</v>
      </c>
      <c r="H124" s="58">
        <v>7</v>
      </c>
      <c r="I124" s="14">
        <v>45944</v>
      </c>
      <c r="J124" s="55">
        <f t="shared" si="7"/>
        <v>5</v>
      </c>
      <c r="K124" s="89">
        <v>5</v>
      </c>
      <c r="L124" s="91" t="s">
        <v>732</v>
      </c>
      <c r="M124" s="56" t="str">
        <f t="shared" si="5"/>
        <v>100</v>
      </c>
      <c r="N124" s="104" t="str" cm="1">
        <f t="array" ref="N124">_xlfn.IFS(J124&gt;=H124,"0",J124&lt;H124,"100")</f>
        <v>100</v>
      </c>
      <c r="O124" s="13" t="s">
        <v>892</v>
      </c>
      <c r="P124" s="14">
        <f t="shared" si="8"/>
        <v>45974</v>
      </c>
      <c r="Q124" s="62">
        <f t="shared" si="9"/>
        <v>30</v>
      </c>
      <c r="R124" s="13" t="s">
        <v>51</v>
      </c>
      <c r="S124" s="13"/>
      <c r="T124" s="17"/>
    </row>
    <row r="125" spans="1:20" s="16" customFormat="1" x14ac:dyDescent="0.2">
      <c r="A125" s="13" t="s">
        <v>752</v>
      </c>
      <c r="B125" s="13" t="s">
        <v>480</v>
      </c>
      <c r="C125" s="68" t="s">
        <v>614</v>
      </c>
      <c r="D125" s="14">
        <v>45940</v>
      </c>
      <c r="E125" s="13" t="s">
        <v>765</v>
      </c>
      <c r="F125" s="13" t="s">
        <v>759</v>
      </c>
      <c r="G125" s="78">
        <v>300.14999999999998</v>
      </c>
      <c r="H125" s="58">
        <v>7</v>
      </c>
      <c r="I125" s="14">
        <v>45945</v>
      </c>
      <c r="J125" s="55">
        <f t="shared" si="7"/>
        <v>5</v>
      </c>
      <c r="K125" s="89">
        <v>5</v>
      </c>
      <c r="L125" s="91" t="s">
        <v>732</v>
      </c>
      <c r="M125" s="56" t="str">
        <f t="shared" si="5"/>
        <v>100</v>
      </c>
      <c r="N125" s="104" t="str" cm="1">
        <f t="array" ref="N125">_xlfn.IFS(J125&gt;=H125,"0",J125&lt;H125,"100")</f>
        <v>100</v>
      </c>
      <c r="O125" s="13" t="s">
        <v>893</v>
      </c>
      <c r="P125" s="14">
        <f t="shared" si="8"/>
        <v>45975</v>
      </c>
      <c r="Q125" s="62">
        <f t="shared" si="9"/>
        <v>30</v>
      </c>
      <c r="R125" s="13" t="s">
        <v>51</v>
      </c>
      <c r="S125" s="13"/>
      <c r="T125" s="17"/>
    </row>
    <row r="126" spans="1:20" s="16" customFormat="1" x14ac:dyDescent="0.2">
      <c r="A126" s="13" t="s">
        <v>752</v>
      </c>
      <c r="B126" s="13" t="s">
        <v>480</v>
      </c>
      <c r="C126" s="68" t="s">
        <v>615</v>
      </c>
      <c r="D126" s="14">
        <v>45941</v>
      </c>
      <c r="E126" s="13" t="s">
        <v>765</v>
      </c>
      <c r="F126" s="13" t="s">
        <v>759</v>
      </c>
      <c r="G126" s="78">
        <v>2610.5</v>
      </c>
      <c r="H126" s="58">
        <v>7</v>
      </c>
      <c r="I126" s="14">
        <v>45942</v>
      </c>
      <c r="J126" s="55">
        <f t="shared" si="7"/>
        <v>1</v>
      </c>
      <c r="K126" s="89">
        <v>1</v>
      </c>
      <c r="L126" s="91" t="s">
        <v>732</v>
      </c>
      <c r="M126" s="56" t="str">
        <f t="shared" si="5"/>
        <v>100</v>
      </c>
      <c r="N126" s="104" t="str" cm="1">
        <f t="array" ref="N126">_xlfn.IFS(J126&gt;=H126,"0",J126&lt;H126,"100")</f>
        <v>100</v>
      </c>
      <c r="O126" s="13" t="s">
        <v>894</v>
      </c>
      <c r="P126" s="14">
        <f t="shared" si="8"/>
        <v>45972</v>
      </c>
      <c r="Q126" s="62">
        <f t="shared" si="9"/>
        <v>30</v>
      </c>
      <c r="R126" s="13" t="s">
        <v>51</v>
      </c>
      <c r="S126" s="13"/>
      <c r="T126" s="17"/>
    </row>
    <row r="127" spans="1:20" s="16" customFormat="1" x14ac:dyDescent="0.2">
      <c r="A127" s="13" t="s">
        <v>752</v>
      </c>
      <c r="B127" s="13" t="s">
        <v>480</v>
      </c>
      <c r="C127" s="68" t="s">
        <v>616</v>
      </c>
      <c r="D127" s="14">
        <v>45942</v>
      </c>
      <c r="E127" s="13" t="s">
        <v>765</v>
      </c>
      <c r="F127" s="13" t="s">
        <v>759</v>
      </c>
      <c r="G127" s="78">
        <v>1150</v>
      </c>
      <c r="H127" s="58">
        <v>7</v>
      </c>
      <c r="I127" s="14">
        <v>45943</v>
      </c>
      <c r="J127" s="55">
        <f t="shared" si="7"/>
        <v>1</v>
      </c>
      <c r="K127" s="89">
        <v>1</v>
      </c>
      <c r="L127" s="91" t="s">
        <v>732</v>
      </c>
      <c r="M127" s="56" t="str">
        <f t="shared" si="5"/>
        <v>100</v>
      </c>
      <c r="N127" s="104" t="str" cm="1">
        <f t="array" ref="N127">_xlfn.IFS(J127&gt;=H127,"0",J127&lt;H127,"100")</f>
        <v>100</v>
      </c>
      <c r="O127" s="13" t="s">
        <v>895</v>
      </c>
      <c r="P127" s="14">
        <f t="shared" si="8"/>
        <v>45973</v>
      </c>
      <c r="Q127" s="62">
        <f t="shared" si="9"/>
        <v>30</v>
      </c>
      <c r="R127" s="13" t="s">
        <v>51</v>
      </c>
      <c r="S127" s="13"/>
      <c r="T127" s="17"/>
    </row>
    <row r="128" spans="1:20" x14ac:dyDescent="0.2">
      <c r="A128" s="13" t="s">
        <v>752</v>
      </c>
      <c r="B128" s="13" t="s">
        <v>480</v>
      </c>
      <c r="C128" s="68" t="s">
        <v>617</v>
      </c>
      <c r="D128" s="14">
        <v>45943</v>
      </c>
      <c r="E128" s="13" t="s">
        <v>765</v>
      </c>
      <c r="F128" s="13" t="s">
        <v>759</v>
      </c>
      <c r="G128" s="78">
        <v>690</v>
      </c>
      <c r="H128" s="58">
        <v>7</v>
      </c>
      <c r="I128" s="14">
        <v>45944</v>
      </c>
      <c r="J128" s="55">
        <f t="shared" si="7"/>
        <v>1</v>
      </c>
      <c r="K128" s="89">
        <v>1</v>
      </c>
      <c r="L128" s="91" t="s">
        <v>732</v>
      </c>
      <c r="M128" s="56" t="str">
        <f t="shared" si="5"/>
        <v>100</v>
      </c>
      <c r="N128" s="104" t="str" cm="1">
        <f t="array" ref="N128">_xlfn.IFS(J128&gt;=H128,"0",J128&lt;H128,"100")</f>
        <v>100</v>
      </c>
      <c r="O128" s="13" t="s">
        <v>896</v>
      </c>
      <c r="P128" s="14">
        <f t="shared" si="8"/>
        <v>45974</v>
      </c>
      <c r="Q128" s="62">
        <f t="shared" si="9"/>
        <v>30</v>
      </c>
      <c r="R128" s="13" t="s">
        <v>51</v>
      </c>
    </row>
    <row r="129" spans="1:19" x14ac:dyDescent="0.2">
      <c r="A129" s="13" t="s">
        <v>752</v>
      </c>
      <c r="B129" s="13" t="s">
        <v>480</v>
      </c>
      <c r="C129" s="68" t="s">
        <v>618</v>
      </c>
      <c r="D129" s="14">
        <v>45944</v>
      </c>
      <c r="E129" s="13" t="s">
        <v>765</v>
      </c>
      <c r="F129" s="13" t="s">
        <v>759</v>
      </c>
      <c r="G129" s="68">
        <v>38700</v>
      </c>
      <c r="H129" s="55">
        <v>7</v>
      </c>
      <c r="I129" s="14">
        <v>45945</v>
      </c>
      <c r="J129" s="55">
        <f t="shared" si="7"/>
        <v>1</v>
      </c>
      <c r="K129" s="89">
        <v>1</v>
      </c>
      <c r="L129" s="89" t="s">
        <v>732</v>
      </c>
      <c r="M129" s="56" t="str">
        <f t="shared" si="5"/>
        <v>100</v>
      </c>
      <c r="N129" s="104" t="str" cm="1">
        <f t="array" ref="N129">_xlfn.IFS(J129&gt;=H129,"0",J129&lt;H129,"100")</f>
        <v>100</v>
      </c>
      <c r="O129" s="13" t="s">
        <v>897</v>
      </c>
      <c r="P129" s="14">
        <f t="shared" si="8"/>
        <v>45975</v>
      </c>
      <c r="Q129" s="62">
        <f t="shared" si="9"/>
        <v>30</v>
      </c>
      <c r="R129" s="13" t="s">
        <v>51</v>
      </c>
    </row>
    <row r="130" spans="1:19" x14ac:dyDescent="0.2">
      <c r="A130" s="13" t="s">
        <v>752</v>
      </c>
      <c r="B130" s="13" t="s">
        <v>480</v>
      </c>
      <c r="C130" s="68" t="s">
        <v>619</v>
      </c>
      <c r="D130" s="14">
        <v>45945</v>
      </c>
      <c r="E130" s="13" t="s">
        <v>765</v>
      </c>
      <c r="F130" s="13" t="s">
        <v>759</v>
      </c>
      <c r="G130" s="68">
        <v>46800</v>
      </c>
      <c r="H130" s="58">
        <v>7</v>
      </c>
      <c r="I130" s="14">
        <v>45946</v>
      </c>
      <c r="J130" s="55">
        <f t="shared" si="7"/>
        <v>1</v>
      </c>
      <c r="K130" s="89">
        <v>1</v>
      </c>
      <c r="L130" s="90" t="s">
        <v>732</v>
      </c>
      <c r="M130" s="56" t="str">
        <f t="shared" ref="M130:M193" si="10">IF(ISBLANK(I130),"",IF(H130&lt;K130,(-(H130-K130)/H130)*100,"100"))</f>
        <v>100</v>
      </c>
      <c r="N130" s="104" t="str" cm="1">
        <f t="array" ref="N130">_xlfn.IFS(J130&gt;=H130,"0",J130&lt;H130,"100")</f>
        <v>100</v>
      </c>
      <c r="O130" s="13" t="s">
        <v>898</v>
      </c>
      <c r="P130" s="14">
        <f t="shared" si="8"/>
        <v>45976</v>
      </c>
      <c r="Q130" s="62">
        <f t="shared" si="9"/>
        <v>30</v>
      </c>
      <c r="R130" s="13" t="s">
        <v>51</v>
      </c>
    </row>
    <row r="131" spans="1:19" x14ac:dyDescent="0.2">
      <c r="A131" s="13" t="s">
        <v>752</v>
      </c>
      <c r="B131" s="13" t="s">
        <v>480</v>
      </c>
      <c r="C131" s="68" t="s">
        <v>620</v>
      </c>
      <c r="D131" s="14">
        <v>45946</v>
      </c>
      <c r="E131" s="13" t="s">
        <v>765</v>
      </c>
      <c r="F131" s="13" t="s">
        <v>759</v>
      </c>
      <c r="G131" s="68">
        <v>6500</v>
      </c>
      <c r="H131" s="58">
        <v>7</v>
      </c>
      <c r="I131" s="14">
        <v>45947</v>
      </c>
      <c r="J131" s="55">
        <f t="shared" ref="J131:J194" si="11">IF(ISBLANK(I131),"",I131-D131)</f>
        <v>1</v>
      </c>
      <c r="K131" s="89">
        <v>1</v>
      </c>
      <c r="L131" s="90" t="s">
        <v>732</v>
      </c>
      <c r="M131" s="56" t="str">
        <f t="shared" si="10"/>
        <v>100</v>
      </c>
      <c r="N131" s="104" t="str" cm="1">
        <f t="array" ref="N131">_xlfn.IFS(J131&gt;=H131,"0",J131&lt;H131,"100")</f>
        <v>100</v>
      </c>
      <c r="O131" s="13" t="s">
        <v>899</v>
      </c>
      <c r="P131" s="14">
        <f t="shared" ref="P131:P194" si="12">I131+30</f>
        <v>45977</v>
      </c>
      <c r="Q131" s="62">
        <f t="shared" ref="Q131:Q194" si="13">P131-I131</f>
        <v>30</v>
      </c>
      <c r="R131" s="13" t="s">
        <v>51</v>
      </c>
    </row>
    <row r="132" spans="1:19" x14ac:dyDescent="0.2">
      <c r="A132" s="13" t="s">
        <v>752</v>
      </c>
      <c r="B132" s="13" t="s">
        <v>480</v>
      </c>
      <c r="C132" s="68" t="s">
        <v>621</v>
      </c>
      <c r="D132" s="14">
        <v>45947</v>
      </c>
      <c r="E132" s="13" t="s">
        <v>765</v>
      </c>
      <c r="F132" s="13" t="s">
        <v>759</v>
      </c>
      <c r="G132" s="68">
        <v>18100</v>
      </c>
      <c r="H132" s="58">
        <v>7</v>
      </c>
      <c r="I132" s="14">
        <v>45948</v>
      </c>
      <c r="J132" s="55">
        <f t="shared" si="11"/>
        <v>1</v>
      </c>
      <c r="K132" s="89">
        <v>1</v>
      </c>
      <c r="L132" s="90" t="s">
        <v>732</v>
      </c>
      <c r="M132" s="56" t="str">
        <f t="shared" si="10"/>
        <v>100</v>
      </c>
      <c r="N132" s="104" t="str" cm="1">
        <f t="array" ref="N132">_xlfn.IFS(J132&gt;=H132,"0",J132&lt;H132,"100")</f>
        <v>100</v>
      </c>
      <c r="O132" s="13" t="s">
        <v>900</v>
      </c>
      <c r="P132" s="14">
        <f t="shared" si="12"/>
        <v>45978</v>
      </c>
      <c r="Q132" s="62">
        <f t="shared" si="13"/>
        <v>30</v>
      </c>
      <c r="R132" s="13" t="s">
        <v>51</v>
      </c>
    </row>
    <row r="133" spans="1:19" x14ac:dyDescent="0.2">
      <c r="A133" s="13" t="s">
        <v>752</v>
      </c>
      <c r="B133" s="13" t="s">
        <v>480</v>
      </c>
      <c r="C133" s="68" t="s">
        <v>622</v>
      </c>
      <c r="D133" s="14">
        <v>45948</v>
      </c>
      <c r="E133" s="13" t="s">
        <v>765</v>
      </c>
      <c r="F133" s="13" t="s">
        <v>759</v>
      </c>
      <c r="G133" s="78">
        <v>11608</v>
      </c>
      <c r="H133" s="58">
        <v>7</v>
      </c>
      <c r="I133" s="14">
        <v>45949</v>
      </c>
      <c r="J133" s="55">
        <f t="shared" si="11"/>
        <v>1</v>
      </c>
      <c r="K133" s="89">
        <v>1</v>
      </c>
      <c r="L133" s="91" t="s">
        <v>732</v>
      </c>
      <c r="M133" s="56" t="str">
        <f t="shared" si="10"/>
        <v>100</v>
      </c>
      <c r="N133" s="104" t="str" cm="1">
        <f t="array" ref="N133">_xlfn.IFS(J133&gt;=H133,"0",J133&lt;H133,"100")</f>
        <v>100</v>
      </c>
      <c r="O133" s="13" t="s">
        <v>901</v>
      </c>
      <c r="P133" s="14">
        <f t="shared" si="12"/>
        <v>45979</v>
      </c>
      <c r="Q133" s="62">
        <f t="shared" si="13"/>
        <v>30</v>
      </c>
      <c r="R133" s="13" t="s">
        <v>51</v>
      </c>
    </row>
    <row r="134" spans="1:19" x14ac:dyDescent="0.2">
      <c r="A134" s="13" t="s">
        <v>752</v>
      </c>
      <c r="B134" s="13" t="s">
        <v>480</v>
      </c>
      <c r="C134" s="68" t="s">
        <v>623</v>
      </c>
      <c r="D134" s="14">
        <v>45949</v>
      </c>
      <c r="E134" s="13" t="s">
        <v>765</v>
      </c>
      <c r="F134" s="13" t="s">
        <v>759</v>
      </c>
      <c r="G134" s="78">
        <v>1058</v>
      </c>
      <c r="H134" s="58">
        <v>7</v>
      </c>
      <c r="I134" s="14">
        <v>45950</v>
      </c>
      <c r="J134" s="55">
        <f t="shared" si="11"/>
        <v>1</v>
      </c>
      <c r="K134" s="89">
        <v>1</v>
      </c>
      <c r="L134" s="91" t="s">
        <v>732</v>
      </c>
      <c r="M134" s="56" t="str">
        <f t="shared" si="10"/>
        <v>100</v>
      </c>
      <c r="N134" s="104" t="str" cm="1">
        <f t="array" ref="N134">_xlfn.IFS(J134&gt;=H134,"0",J134&lt;H134,"100")</f>
        <v>100</v>
      </c>
      <c r="O134" s="13" t="s">
        <v>902</v>
      </c>
      <c r="P134" s="14">
        <f t="shared" si="12"/>
        <v>45980</v>
      </c>
      <c r="Q134" s="62">
        <f t="shared" si="13"/>
        <v>30</v>
      </c>
      <c r="R134" s="13" t="s">
        <v>51</v>
      </c>
    </row>
    <row r="135" spans="1:19" x14ac:dyDescent="0.2">
      <c r="A135" s="13" t="s">
        <v>752</v>
      </c>
      <c r="B135" s="13" t="s">
        <v>480</v>
      </c>
      <c r="C135" s="68" t="s">
        <v>624</v>
      </c>
      <c r="D135" s="14">
        <v>45950</v>
      </c>
      <c r="E135" s="13" t="s">
        <v>765</v>
      </c>
      <c r="F135" s="13" t="s">
        <v>759</v>
      </c>
      <c r="G135" s="78">
        <v>7350</v>
      </c>
      <c r="H135" s="58">
        <v>7</v>
      </c>
      <c r="I135" s="14">
        <v>45951</v>
      </c>
      <c r="J135" s="55">
        <f t="shared" si="11"/>
        <v>1</v>
      </c>
      <c r="K135" s="89">
        <v>1</v>
      </c>
      <c r="L135" s="91" t="s">
        <v>732</v>
      </c>
      <c r="M135" s="56" t="str">
        <f t="shared" si="10"/>
        <v>100</v>
      </c>
      <c r="N135" s="104" t="str" cm="1">
        <f t="array" ref="N135">_xlfn.IFS(J135&gt;=H135,"0",J135&lt;H135,"100")</f>
        <v>100</v>
      </c>
      <c r="O135" s="13" t="s">
        <v>903</v>
      </c>
      <c r="P135" s="14">
        <f t="shared" si="12"/>
        <v>45981</v>
      </c>
      <c r="Q135" s="62">
        <f t="shared" si="13"/>
        <v>30</v>
      </c>
      <c r="R135" s="13" t="s">
        <v>51</v>
      </c>
    </row>
    <row r="136" spans="1:19" x14ac:dyDescent="0.2">
      <c r="A136" s="13" t="s">
        <v>752</v>
      </c>
      <c r="B136" s="13" t="s">
        <v>480</v>
      </c>
      <c r="C136" s="68" t="s">
        <v>625</v>
      </c>
      <c r="D136" s="14">
        <v>45951</v>
      </c>
      <c r="E136" s="13" t="s">
        <v>764</v>
      </c>
      <c r="F136" s="13" t="s">
        <v>759</v>
      </c>
      <c r="G136" s="78">
        <v>1121.5</v>
      </c>
      <c r="H136" s="58">
        <v>7</v>
      </c>
      <c r="I136" s="14">
        <v>45952</v>
      </c>
      <c r="J136" s="55">
        <f t="shared" si="11"/>
        <v>1</v>
      </c>
      <c r="K136" s="89">
        <v>1</v>
      </c>
      <c r="L136" s="91" t="s">
        <v>732</v>
      </c>
      <c r="M136" s="56" t="str">
        <f t="shared" si="10"/>
        <v>100</v>
      </c>
      <c r="N136" s="104" t="str" cm="1">
        <f t="array" ref="N136">_xlfn.IFS(J136&gt;=H136,"0",J136&lt;H136,"100")</f>
        <v>100</v>
      </c>
      <c r="O136" s="13" t="s">
        <v>904</v>
      </c>
      <c r="P136" s="14">
        <f t="shared" si="12"/>
        <v>45982</v>
      </c>
      <c r="Q136" s="62">
        <f t="shared" si="13"/>
        <v>30</v>
      </c>
      <c r="R136" s="13" t="s">
        <v>51</v>
      </c>
    </row>
    <row r="137" spans="1:19" x14ac:dyDescent="0.2">
      <c r="A137" s="13" t="s">
        <v>752</v>
      </c>
      <c r="B137" s="13" t="s">
        <v>480</v>
      </c>
      <c r="C137" s="68" t="s">
        <v>626</v>
      </c>
      <c r="D137" s="14">
        <v>45952</v>
      </c>
      <c r="E137" s="13" t="s">
        <v>764</v>
      </c>
      <c r="F137" s="13" t="s">
        <v>759</v>
      </c>
      <c r="G137" s="78">
        <v>69</v>
      </c>
      <c r="H137" s="58">
        <v>7</v>
      </c>
      <c r="I137" s="14">
        <v>45953</v>
      </c>
      <c r="J137" s="55">
        <f t="shared" si="11"/>
        <v>1</v>
      </c>
      <c r="K137" s="89">
        <v>1</v>
      </c>
      <c r="L137" s="91" t="s">
        <v>732</v>
      </c>
      <c r="M137" s="56" t="str">
        <f t="shared" si="10"/>
        <v>100</v>
      </c>
      <c r="N137" s="104" t="str" cm="1">
        <f t="array" ref="N137">_xlfn.IFS(J137&gt;=H137,"0",J137&lt;H137,"100")</f>
        <v>100</v>
      </c>
      <c r="O137" s="13" t="s">
        <v>905</v>
      </c>
      <c r="P137" s="14">
        <f t="shared" si="12"/>
        <v>45983</v>
      </c>
      <c r="Q137" s="62">
        <f t="shared" si="13"/>
        <v>30</v>
      </c>
      <c r="R137" s="13" t="s">
        <v>51</v>
      </c>
    </row>
    <row r="138" spans="1:19" x14ac:dyDescent="0.2">
      <c r="A138" s="13" t="s">
        <v>752</v>
      </c>
      <c r="B138" s="13" t="s">
        <v>480</v>
      </c>
      <c r="C138" s="68" t="s">
        <v>627</v>
      </c>
      <c r="D138" s="14">
        <v>45953</v>
      </c>
      <c r="E138" s="13" t="s">
        <v>764</v>
      </c>
      <c r="F138" s="13" t="s">
        <v>759</v>
      </c>
      <c r="G138" s="78">
        <v>5405</v>
      </c>
      <c r="H138" s="58">
        <v>7</v>
      </c>
      <c r="I138" s="14">
        <v>45954</v>
      </c>
      <c r="J138" s="55">
        <f t="shared" si="11"/>
        <v>1</v>
      </c>
      <c r="K138" s="89">
        <v>1</v>
      </c>
      <c r="L138" s="91" t="s">
        <v>732</v>
      </c>
      <c r="M138" s="56" t="str">
        <f t="shared" si="10"/>
        <v>100</v>
      </c>
      <c r="N138" s="104" t="str" cm="1">
        <f t="array" ref="N138">_xlfn.IFS(J138&gt;=H138,"0",J138&lt;H138,"100")</f>
        <v>100</v>
      </c>
      <c r="O138" s="13" t="s">
        <v>906</v>
      </c>
      <c r="P138" s="14">
        <f t="shared" si="12"/>
        <v>45984</v>
      </c>
      <c r="Q138" s="62">
        <f t="shared" si="13"/>
        <v>30</v>
      </c>
      <c r="R138" s="13" t="s">
        <v>51</v>
      </c>
    </row>
    <row r="139" spans="1:19" x14ac:dyDescent="0.2">
      <c r="A139" s="13" t="s">
        <v>755</v>
      </c>
      <c r="B139" s="13" t="s">
        <v>749</v>
      </c>
      <c r="C139" s="68" t="s">
        <v>628</v>
      </c>
      <c r="D139" s="14">
        <v>45954</v>
      </c>
      <c r="E139" s="13" t="s">
        <v>727</v>
      </c>
      <c r="F139" s="13" t="s">
        <v>761</v>
      </c>
      <c r="G139" s="68">
        <v>9039</v>
      </c>
      <c r="H139" s="58">
        <v>7</v>
      </c>
      <c r="I139" s="14">
        <v>45955</v>
      </c>
      <c r="J139" s="55">
        <f t="shared" si="11"/>
        <v>1</v>
      </c>
      <c r="K139" s="89">
        <v>1</v>
      </c>
      <c r="L139" s="89" t="s">
        <v>732</v>
      </c>
      <c r="M139" s="56" t="str">
        <f t="shared" si="10"/>
        <v>100</v>
      </c>
      <c r="N139" s="104" t="str" cm="1">
        <f t="array" ref="N139">_xlfn.IFS(J139&gt;=H139,"0",J139&lt;H139,"100")</f>
        <v>100</v>
      </c>
      <c r="O139" s="13" t="s">
        <v>907</v>
      </c>
      <c r="P139" s="14">
        <f t="shared" si="12"/>
        <v>45985</v>
      </c>
      <c r="Q139" s="62">
        <f t="shared" si="13"/>
        <v>30</v>
      </c>
      <c r="R139" s="13" t="s">
        <v>51</v>
      </c>
    </row>
    <row r="140" spans="1:19" x14ac:dyDescent="0.2">
      <c r="A140" s="13" t="s">
        <v>755</v>
      </c>
      <c r="B140" s="13" t="s">
        <v>749</v>
      </c>
      <c r="C140" s="68" t="s">
        <v>629</v>
      </c>
      <c r="D140" s="14">
        <v>45955</v>
      </c>
      <c r="E140" s="13" t="s">
        <v>727</v>
      </c>
      <c r="F140" s="13" t="s">
        <v>761</v>
      </c>
      <c r="G140" s="68">
        <v>12305</v>
      </c>
      <c r="H140" s="58">
        <v>7</v>
      </c>
      <c r="I140" s="14">
        <v>45956</v>
      </c>
      <c r="J140" s="55">
        <f t="shared" si="11"/>
        <v>1</v>
      </c>
      <c r="K140" s="89">
        <v>1</v>
      </c>
      <c r="L140" s="89" t="s">
        <v>732</v>
      </c>
      <c r="M140" s="56" t="str">
        <f t="shared" si="10"/>
        <v>100</v>
      </c>
      <c r="N140" s="104" t="str" cm="1">
        <f t="array" ref="N140">_xlfn.IFS(J140&gt;=H140,"0",J140&lt;H140,"100")</f>
        <v>100</v>
      </c>
      <c r="O140" s="13" t="s">
        <v>908</v>
      </c>
      <c r="P140" s="14">
        <f t="shared" si="12"/>
        <v>45986</v>
      </c>
      <c r="Q140" s="62">
        <f t="shared" si="13"/>
        <v>30</v>
      </c>
      <c r="R140" s="13" t="s">
        <v>51</v>
      </c>
    </row>
    <row r="141" spans="1:19" x14ac:dyDescent="0.2">
      <c r="A141" s="13" t="s">
        <v>755</v>
      </c>
      <c r="B141" s="13" t="s">
        <v>749</v>
      </c>
      <c r="C141" s="68" t="s">
        <v>630</v>
      </c>
      <c r="D141" s="14">
        <v>45956</v>
      </c>
      <c r="E141" s="13" t="s">
        <v>727</v>
      </c>
      <c r="F141" s="13" t="s">
        <v>761</v>
      </c>
      <c r="G141" s="68">
        <v>8517.89</v>
      </c>
      <c r="H141" s="58">
        <v>7</v>
      </c>
      <c r="I141" s="14">
        <v>45957</v>
      </c>
      <c r="J141" s="55">
        <f t="shared" si="11"/>
        <v>1</v>
      </c>
      <c r="K141" s="89">
        <v>1</v>
      </c>
      <c r="L141" s="89" t="s">
        <v>732</v>
      </c>
      <c r="M141" s="56" t="str">
        <f t="shared" si="10"/>
        <v>100</v>
      </c>
      <c r="N141" s="104" t="str" cm="1">
        <f t="array" ref="N141">_xlfn.IFS(J141&gt;=H141,"0",J141&lt;H141,"100")</f>
        <v>100</v>
      </c>
      <c r="O141" s="13" t="s">
        <v>909</v>
      </c>
      <c r="P141" s="14">
        <f t="shared" si="12"/>
        <v>45987</v>
      </c>
      <c r="Q141" s="62">
        <f t="shared" si="13"/>
        <v>30</v>
      </c>
      <c r="R141" s="13" t="s">
        <v>51</v>
      </c>
    </row>
    <row r="142" spans="1:19" x14ac:dyDescent="0.2">
      <c r="A142" s="13" t="s">
        <v>755</v>
      </c>
      <c r="B142" s="13" t="s">
        <v>749</v>
      </c>
      <c r="C142" s="68" t="s">
        <v>631</v>
      </c>
      <c r="D142" s="14">
        <v>45957</v>
      </c>
      <c r="E142" s="13" t="s">
        <v>727</v>
      </c>
      <c r="F142" s="13" t="s">
        <v>761</v>
      </c>
      <c r="G142" s="68">
        <v>9200</v>
      </c>
      <c r="H142" s="58">
        <v>7</v>
      </c>
      <c r="I142" s="14">
        <v>45958</v>
      </c>
      <c r="J142" s="55">
        <f t="shared" si="11"/>
        <v>1</v>
      </c>
      <c r="K142" s="89">
        <v>1</v>
      </c>
      <c r="L142" s="89" t="s">
        <v>732</v>
      </c>
      <c r="M142" s="56" t="str">
        <f t="shared" si="10"/>
        <v>100</v>
      </c>
      <c r="N142" s="104" t="str" cm="1">
        <f t="array" ref="N142">_xlfn.IFS(J142&gt;=H142,"0",J142&lt;H142,"100")</f>
        <v>100</v>
      </c>
      <c r="O142" s="13" t="s">
        <v>910</v>
      </c>
      <c r="P142" s="14">
        <f t="shared" si="12"/>
        <v>45988</v>
      </c>
      <c r="Q142" s="62">
        <f t="shared" si="13"/>
        <v>30</v>
      </c>
      <c r="R142" s="13" t="s">
        <v>51</v>
      </c>
    </row>
    <row r="143" spans="1:19" x14ac:dyDescent="0.2">
      <c r="A143" s="13" t="s">
        <v>755</v>
      </c>
      <c r="B143" s="13" t="s">
        <v>749</v>
      </c>
      <c r="C143" s="68" t="s">
        <v>632</v>
      </c>
      <c r="D143" s="14">
        <v>45958</v>
      </c>
      <c r="E143" s="13" t="s">
        <v>727</v>
      </c>
      <c r="F143" s="13" t="s">
        <v>761</v>
      </c>
      <c r="G143" s="68">
        <v>12880</v>
      </c>
      <c r="H143" s="58">
        <v>7</v>
      </c>
      <c r="I143" s="14">
        <v>45959</v>
      </c>
      <c r="J143" s="55">
        <f t="shared" si="11"/>
        <v>1</v>
      </c>
      <c r="K143" s="89">
        <v>1</v>
      </c>
      <c r="L143" s="89" t="s">
        <v>732</v>
      </c>
      <c r="M143" s="56" t="str">
        <f t="shared" si="10"/>
        <v>100</v>
      </c>
      <c r="N143" s="104" t="str" cm="1">
        <f t="array" ref="N143">_xlfn.IFS(J143&gt;=H143,"0",J143&lt;H143,"100")</f>
        <v>100</v>
      </c>
      <c r="O143" s="13" t="s">
        <v>911</v>
      </c>
      <c r="P143" s="14">
        <f t="shared" si="12"/>
        <v>45989</v>
      </c>
      <c r="Q143" s="62">
        <f t="shared" si="13"/>
        <v>30</v>
      </c>
      <c r="R143" s="13" t="s">
        <v>51</v>
      </c>
    </row>
    <row r="144" spans="1:19" s="17" customFormat="1" x14ac:dyDescent="0.2">
      <c r="A144" s="13" t="s">
        <v>755</v>
      </c>
      <c r="B144" s="13" t="s">
        <v>749</v>
      </c>
      <c r="C144" s="68" t="s">
        <v>633</v>
      </c>
      <c r="D144" s="14">
        <v>45959</v>
      </c>
      <c r="E144" s="13" t="s">
        <v>727</v>
      </c>
      <c r="F144" s="13" t="s">
        <v>761</v>
      </c>
      <c r="G144" s="68">
        <v>7360</v>
      </c>
      <c r="H144" s="58">
        <v>7</v>
      </c>
      <c r="I144" s="14">
        <v>45960</v>
      </c>
      <c r="J144" s="55">
        <f t="shared" si="11"/>
        <v>1</v>
      </c>
      <c r="K144" s="89">
        <v>1</v>
      </c>
      <c r="L144" s="89" t="s">
        <v>732</v>
      </c>
      <c r="M144" s="56" t="str">
        <f t="shared" si="10"/>
        <v>100</v>
      </c>
      <c r="N144" s="104" t="str" cm="1">
        <f t="array" ref="N144">_xlfn.IFS(J144&gt;=H144,"0",J144&lt;H144,"100")</f>
        <v>100</v>
      </c>
      <c r="O144" s="13" t="s">
        <v>912</v>
      </c>
      <c r="P144" s="14">
        <f t="shared" si="12"/>
        <v>45990</v>
      </c>
      <c r="Q144" s="62">
        <f t="shared" si="13"/>
        <v>30</v>
      </c>
      <c r="R144" s="13" t="s">
        <v>51</v>
      </c>
      <c r="S144" s="13"/>
    </row>
    <row r="145" spans="1:19" s="17" customFormat="1" x14ac:dyDescent="0.2">
      <c r="A145" s="13" t="s">
        <v>755</v>
      </c>
      <c r="B145" s="13" t="s">
        <v>749</v>
      </c>
      <c r="C145" s="68" t="s">
        <v>634</v>
      </c>
      <c r="D145" s="14">
        <v>45960</v>
      </c>
      <c r="E145" s="13" t="s">
        <v>727</v>
      </c>
      <c r="F145" s="13" t="s">
        <v>761</v>
      </c>
      <c r="G145" s="68">
        <v>12880</v>
      </c>
      <c r="H145" s="58">
        <v>7</v>
      </c>
      <c r="I145" s="14">
        <v>45961</v>
      </c>
      <c r="J145" s="55">
        <f t="shared" si="11"/>
        <v>1</v>
      </c>
      <c r="K145" s="89">
        <v>1</v>
      </c>
      <c r="L145" s="89" t="s">
        <v>732</v>
      </c>
      <c r="M145" s="56" t="str">
        <f t="shared" si="10"/>
        <v>100</v>
      </c>
      <c r="N145" s="104" t="str" cm="1">
        <f t="array" ref="N145">_xlfn.IFS(J145&gt;=H145,"0",J145&lt;H145,"100")</f>
        <v>100</v>
      </c>
      <c r="O145" s="13" t="s">
        <v>913</v>
      </c>
      <c r="P145" s="14">
        <f t="shared" si="12"/>
        <v>45991</v>
      </c>
      <c r="Q145" s="62">
        <f t="shared" si="13"/>
        <v>30</v>
      </c>
      <c r="R145" s="13" t="s">
        <v>51</v>
      </c>
      <c r="S145" s="13"/>
    </row>
    <row r="146" spans="1:19" s="17" customFormat="1" x14ac:dyDescent="0.2">
      <c r="A146" s="13" t="s">
        <v>755</v>
      </c>
      <c r="B146" s="13" t="s">
        <v>749</v>
      </c>
      <c r="C146" s="68" t="s">
        <v>635</v>
      </c>
      <c r="D146" s="14">
        <v>45961</v>
      </c>
      <c r="E146" s="13" t="s">
        <v>727</v>
      </c>
      <c r="F146" s="13" t="s">
        <v>761</v>
      </c>
      <c r="G146" s="68">
        <v>140000</v>
      </c>
      <c r="H146" s="58">
        <v>10</v>
      </c>
      <c r="I146" s="14">
        <v>45963</v>
      </c>
      <c r="J146" s="55">
        <f t="shared" si="11"/>
        <v>2</v>
      </c>
      <c r="K146" s="89">
        <v>2</v>
      </c>
      <c r="L146" s="89" t="s">
        <v>732</v>
      </c>
      <c r="M146" s="56" t="str">
        <f t="shared" si="10"/>
        <v>100</v>
      </c>
      <c r="N146" s="104" t="str" cm="1">
        <f t="array" ref="N146">_xlfn.IFS(J146&gt;=H146,"0",J146&lt;H146,"100")</f>
        <v>100</v>
      </c>
      <c r="O146" s="13" t="s">
        <v>914</v>
      </c>
      <c r="P146" s="14">
        <f t="shared" si="12"/>
        <v>45993</v>
      </c>
      <c r="Q146" s="62">
        <f t="shared" si="13"/>
        <v>30</v>
      </c>
      <c r="R146" s="13" t="s">
        <v>51</v>
      </c>
      <c r="S146" s="13"/>
    </row>
    <row r="147" spans="1:19" s="17" customFormat="1" x14ac:dyDescent="0.2">
      <c r="A147" s="13" t="s">
        <v>1028</v>
      </c>
      <c r="B147" s="13" t="s">
        <v>481</v>
      </c>
      <c r="C147" s="68" t="s">
        <v>636</v>
      </c>
      <c r="D147" s="14">
        <v>45933</v>
      </c>
      <c r="E147" s="13" t="s">
        <v>768</v>
      </c>
      <c r="F147" s="13" t="s">
        <v>766</v>
      </c>
      <c r="G147" s="68">
        <v>1890</v>
      </c>
      <c r="H147" s="58">
        <v>7</v>
      </c>
      <c r="I147" s="14">
        <v>45939</v>
      </c>
      <c r="J147" s="55">
        <f t="shared" si="11"/>
        <v>6</v>
      </c>
      <c r="K147" s="89">
        <v>6</v>
      </c>
      <c r="L147" s="89" t="s">
        <v>732</v>
      </c>
      <c r="M147" s="56" t="str">
        <f t="shared" si="10"/>
        <v>100</v>
      </c>
      <c r="N147" s="104" t="str" cm="1">
        <f t="array" ref="N147">_xlfn.IFS(J147&gt;=H147,"0",J147&lt;H147,"100")</f>
        <v>100</v>
      </c>
      <c r="O147" s="13" t="s">
        <v>915</v>
      </c>
      <c r="P147" s="14">
        <f t="shared" si="12"/>
        <v>45969</v>
      </c>
      <c r="Q147" s="62">
        <f t="shared" si="13"/>
        <v>30</v>
      </c>
      <c r="R147" s="13" t="s">
        <v>51</v>
      </c>
      <c r="S147" s="13"/>
    </row>
    <row r="148" spans="1:19" s="17" customFormat="1" x14ac:dyDescent="0.2">
      <c r="A148" s="13" t="s">
        <v>752</v>
      </c>
      <c r="B148" s="13" t="s">
        <v>480</v>
      </c>
      <c r="C148" s="68" t="s">
        <v>637</v>
      </c>
      <c r="D148" s="14">
        <v>45934</v>
      </c>
      <c r="E148" s="13" t="s">
        <v>764</v>
      </c>
      <c r="F148" s="13" t="s">
        <v>759</v>
      </c>
      <c r="G148" s="68">
        <v>140</v>
      </c>
      <c r="H148" s="58">
        <v>7</v>
      </c>
      <c r="I148" s="14">
        <v>45940</v>
      </c>
      <c r="J148" s="55">
        <f t="shared" si="11"/>
        <v>6</v>
      </c>
      <c r="K148" s="89">
        <v>6</v>
      </c>
      <c r="L148" s="90" t="s">
        <v>732</v>
      </c>
      <c r="M148" s="56" t="str">
        <f t="shared" si="10"/>
        <v>100</v>
      </c>
      <c r="N148" s="104" t="str" cm="1">
        <f t="array" ref="N148">_xlfn.IFS(J148&gt;=H148,"0",J148&lt;H148,"100")</f>
        <v>100</v>
      </c>
      <c r="O148" s="13" t="s">
        <v>916</v>
      </c>
      <c r="P148" s="14">
        <f t="shared" si="12"/>
        <v>45970</v>
      </c>
      <c r="Q148" s="62">
        <f t="shared" si="13"/>
        <v>30</v>
      </c>
      <c r="R148" s="13" t="s">
        <v>51</v>
      </c>
      <c r="S148" s="13"/>
    </row>
    <row r="149" spans="1:19" s="17" customFormat="1" x14ac:dyDescent="0.2">
      <c r="A149" s="13" t="s">
        <v>755</v>
      </c>
      <c r="B149" s="13" t="s">
        <v>749</v>
      </c>
      <c r="C149" s="68" t="s">
        <v>638</v>
      </c>
      <c r="D149" s="14">
        <v>45935</v>
      </c>
      <c r="E149" s="13" t="s">
        <v>727</v>
      </c>
      <c r="F149" s="13" t="s">
        <v>761</v>
      </c>
      <c r="G149" s="68">
        <v>25300</v>
      </c>
      <c r="H149" s="58">
        <v>7</v>
      </c>
      <c r="I149" s="14">
        <v>45941</v>
      </c>
      <c r="J149" s="55">
        <f t="shared" si="11"/>
        <v>6</v>
      </c>
      <c r="K149" s="89">
        <v>6</v>
      </c>
      <c r="L149" s="91" t="s">
        <v>732</v>
      </c>
      <c r="M149" s="56" t="str">
        <f t="shared" si="10"/>
        <v>100</v>
      </c>
      <c r="N149" s="104" t="str" cm="1">
        <f t="array" ref="N149">_xlfn.IFS(J149&gt;=H149,"0",J149&lt;H149,"100")</f>
        <v>100</v>
      </c>
      <c r="O149" s="13" t="s">
        <v>917</v>
      </c>
      <c r="P149" s="14">
        <f t="shared" si="12"/>
        <v>45971</v>
      </c>
      <c r="Q149" s="62">
        <f t="shared" si="13"/>
        <v>30</v>
      </c>
      <c r="R149" s="13" t="s">
        <v>51</v>
      </c>
      <c r="S149" s="13"/>
    </row>
    <row r="150" spans="1:19" s="17" customFormat="1" x14ac:dyDescent="0.2">
      <c r="A150" s="13" t="s">
        <v>752</v>
      </c>
      <c r="B150" s="13" t="s">
        <v>480</v>
      </c>
      <c r="C150" s="68" t="s">
        <v>639</v>
      </c>
      <c r="D150" s="14">
        <v>45936</v>
      </c>
      <c r="E150" s="13" t="s">
        <v>764</v>
      </c>
      <c r="F150" s="13" t="s">
        <v>759</v>
      </c>
      <c r="G150" s="68">
        <v>15000</v>
      </c>
      <c r="H150" s="58">
        <v>7</v>
      </c>
      <c r="I150" s="14">
        <v>45942</v>
      </c>
      <c r="J150" s="55">
        <f t="shared" si="11"/>
        <v>6</v>
      </c>
      <c r="K150" s="89">
        <v>6</v>
      </c>
      <c r="L150" s="89" t="s">
        <v>732</v>
      </c>
      <c r="M150" s="56" t="str">
        <f t="shared" si="10"/>
        <v>100</v>
      </c>
      <c r="N150" s="104" t="str" cm="1">
        <f t="array" ref="N150">_xlfn.IFS(J150&gt;=H150,"0",J150&lt;H150,"100")</f>
        <v>100</v>
      </c>
      <c r="O150" s="13" t="s">
        <v>918</v>
      </c>
      <c r="P150" s="14">
        <f t="shared" si="12"/>
        <v>45972</v>
      </c>
      <c r="Q150" s="62">
        <f t="shared" si="13"/>
        <v>30</v>
      </c>
      <c r="R150" s="13" t="s">
        <v>51</v>
      </c>
      <c r="S150" s="13"/>
    </row>
    <row r="151" spans="1:19" s="17" customFormat="1" x14ac:dyDescent="0.2">
      <c r="A151" s="13" t="s">
        <v>752</v>
      </c>
      <c r="B151" s="13" t="s">
        <v>480</v>
      </c>
      <c r="C151" s="68" t="s">
        <v>640</v>
      </c>
      <c r="D151" s="14">
        <v>45937</v>
      </c>
      <c r="E151" s="13" t="s">
        <v>765</v>
      </c>
      <c r="F151" s="13" t="s">
        <v>759</v>
      </c>
      <c r="G151" s="68">
        <v>1575</v>
      </c>
      <c r="H151" s="55">
        <v>7</v>
      </c>
      <c r="I151" s="14">
        <v>45943</v>
      </c>
      <c r="J151" s="55">
        <f t="shared" si="11"/>
        <v>6</v>
      </c>
      <c r="K151" s="89">
        <v>6</v>
      </c>
      <c r="L151" s="89" t="s">
        <v>732</v>
      </c>
      <c r="M151" s="56" t="str">
        <f t="shared" si="10"/>
        <v>100</v>
      </c>
      <c r="N151" s="104" t="str" cm="1">
        <f t="array" ref="N151">_xlfn.IFS(J151&gt;=H151,"0",J151&lt;H151,"100")</f>
        <v>100</v>
      </c>
      <c r="O151" s="13" t="s">
        <v>919</v>
      </c>
      <c r="P151" s="14">
        <f t="shared" si="12"/>
        <v>45973</v>
      </c>
      <c r="Q151" s="62">
        <f t="shared" si="13"/>
        <v>30</v>
      </c>
      <c r="R151" s="13" t="s">
        <v>51</v>
      </c>
      <c r="S151" s="13"/>
    </row>
    <row r="152" spans="1:19" x14ac:dyDescent="0.2">
      <c r="A152" s="13" t="s">
        <v>753</v>
      </c>
      <c r="B152" s="13" t="s">
        <v>480</v>
      </c>
      <c r="C152" s="68" t="s">
        <v>641</v>
      </c>
      <c r="D152" s="14">
        <v>45938</v>
      </c>
      <c r="E152" s="13" t="s">
        <v>765</v>
      </c>
      <c r="F152" s="13" t="s">
        <v>759</v>
      </c>
      <c r="G152" s="68">
        <v>70000</v>
      </c>
      <c r="H152" s="58">
        <v>7</v>
      </c>
      <c r="I152" s="14">
        <v>45944</v>
      </c>
      <c r="J152" s="55">
        <f t="shared" si="11"/>
        <v>6</v>
      </c>
      <c r="K152" s="89">
        <v>6</v>
      </c>
      <c r="L152" s="89" t="s">
        <v>732</v>
      </c>
      <c r="M152" s="56" t="str">
        <f t="shared" si="10"/>
        <v>100</v>
      </c>
      <c r="N152" s="104" t="str" cm="1">
        <f t="array" ref="N152">_xlfn.IFS(J152&gt;=H152,"0",J152&lt;H152,"100")</f>
        <v>100</v>
      </c>
      <c r="O152" s="13" t="s">
        <v>920</v>
      </c>
      <c r="P152" s="14">
        <f t="shared" si="12"/>
        <v>45974</v>
      </c>
      <c r="Q152" s="62">
        <f t="shared" si="13"/>
        <v>30</v>
      </c>
      <c r="R152" s="13" t="s">
        <v>51</v>
      </c>
    </row>
    <row r="153" spans="1:19" x14ac:dyDescent="0.2">
      <c r="A153" s="13" t="s">
        <v>753</v>
      </c>
      <c r="B153" s="13" t="s">
        <v>480</v>
      </c>
      <c r="C153" s="68" t="s">
        <v>642</v>
      </c>
      <c r="D153" s="14">
        <v>45939</v>
      </c>
      <c r="E153" s="13" t="s">
        <v>765</v>
      </c>
      <c r="F153" s="13" t="s">
        <v>759</v>
      </c>
      <c r="G153" s="68">
        <v>70000</v>
      </c>
      <c r="H153" s="58">
        <v>7</v>
      </c>
      <c r="I153" s="14">
        <v>45945</v>
      </c>
      <c r="J153" s="55">
        <f t="shared" si="11"/>
        <v>6</v>
      </c>
      <c r="K153" s="89">
        <v>6</v>
      </c>
      <c r="L153" s="89" t="s">
        <v>732</v>
      </c>
      <c r="M153" s="56" t="str">
        <f t="shared" si="10"/>
        <v>100</v>
      </c>
      <c r="N153" s="104" t="str" cm="1">
        <f t="array" ref="N153">_xlfn.IFS(J153&gt;=H153,"0",J153&lt;H153,"100")</f>
        <v>100</v>
      </c>
      <c r="O153" s="13" t="s">
        <v>921</v>
      </c>
      <c r="P153" s="14">
        <f t="shared" si="12"/>
        <v>45975</v>
      </c>
      <c r="Q153" s="62">
        <f t="shared" si="13"/>
        <v>30</v>
      </c>
      <c r="R153" s="13" t="s">
        <v>51</v>
      </c>
    </row>
    <row r="154" spans="1:19" x14ac:dyDescent="0.2">
      <c r="A154" s="13" t="s">
        <v>753</v>
      </c>
      <c r="B154" s="13" t="s">
        <v>480</v>
      </c>
      <c r="C154" s="68" t="s">
        <v>643</v>
      </c>
      <c r="D154" s="14">
        <v>45940</v>
      </c>
      <c r="E154" s="13" t="s">
        <v>765</v>
      </c>
      <c r="F154" s="13" t="s">
        <v>759</v>
      </c>
      <c r="G154" s="68">
        <v>70000</v>
      </c>
      <c r="H154" s="58">
        <v>7</v>
      </c>
      <c r="I154" s="14">
        <v>45946</v>
      </c>
      <c r="J154" s="55">
        <f t="shared" si="11"/>
        <v>6</v>
      </c>
      <c r="K154" s="89">
        <v>6</v>
      </c>
      <c r="L154" s="89" t="s">
        <v>732</v>
      </c>
      <c r="M154" s="56" t="str">
        <f t="shared" si="10"/>
        <v>100</v>
      </c>
      <c r="N154" s="104" t="str" cm="1">
        <f t="array" ref="N154">_xlfn.IFS(J154&gt;=H154,"0",J154&lt;H154,"100")</f>
        <v>100</v>
      </c>
      <c r="O154" s="13" t="s">
        <v>922</v>
      </c>
      <c r="P154" s="14">
        <f t="shared" si="12"/>
        <v>45976</v>
      </c>
      <c r="Q154" s="62">
        <f t="shared" si="13"/>
        <v>30</v>
      </c>
      <c r="R154" s="13" t="s">
        <v>51</v>
      </c>
    </row>
    <row r="155" spans="1:19" x14ac:dyDescent="0.2">
      <c r="A155" s="13" t="s">
        <v>753</v>
      </c>
      <c r="B155" s="13" t="s">
        <v>480</v>
      </c>
      <c r="C155" s="68" t="s">
        <v>644</v>
      </c>
      <c r="D155" s="14">
        <v>45941</v>
      </c>
      <c r="E155" s="13" t="s">
        <v>765</v>
      </c>
      <c r="F155" s="13" t="s">
        <v>759</v>
      </c>
      <c r="G155" s="68">
        <v>70000</v>
      </c>
      <c r="H155" s="58">
        <v>7</v>
      </c>
      <c r="I155" s="14">
        <v>45947</v>
      </c>
      <c r="J155" s="55">
        <f t="shared" si="11"/>
        <v>6</v>
      </c>
      <c r="K155" s="89">
        <v>6</v>
      </c>
      <c r="L155" s="89" t="s">
        <v>732</v>
      </c>
      <c r="M155" s="56" t="str">
        <f t="shared" si="10"/>
        <v>100</v>
      </c>
      <c r="N155" s="104" t="str" cm="1">
        <f t="array" ref="N155">_xlfn.IFS(J155&gt;=H155,"0",J155&lt;H155,"100")</f>
        <v>100</v>
      </c>
      <c r="O155" s="13" t="s">
        <v>923</v>
      </c>
      <c r="P155" s="14">
        <f t="shared" si="12"/>
        <v>45977</v>
      </c>
      <c r="Q155" s="62">
        <f t="shared" si="13"/>
        <v>30</v>
      </c>
      <c r="R155" s="13" t="s">
        <v>51</v>
      </c>
    </row>
    <row r="156" spans="1:19" x14ac:dyDescent="0.2">
      <c r="A156" s="13" t="s">
        <v>753</v>
      </c>
      <c r="B156" s="13" t="s">
        <v>480</v>
      </c>
      <c r="C156" s="68" t="s">
        <v>645</v>
      </c>
      <c r="D156" s="14">
        <v>45942</v>
      </c>
      <c r="E156" s="13" t="s">
        <v>765</v>
      </c>
      <c r="F156" s="13" t="s">
        <v>759</v>
      </c>
      <c r="G156" s="68">
        <v>70000</v>
      </c>
      <c r="H156" s="58">
        <v>7</v>
      </c>
      <c r="I156" s="14">
        <v>45948</v>
      </c>
      <c r="J156" s="55">
        <f t="shared" si="11"/>
        <v>6</v>
      </c>
      <c r="K156" s="89">
        <v>6</v>
      </c>
      <c r="L156" s="89" t="s">
        <v>732</v>
      </c>
      <c r="M156" s="56" t="str">
        <f t="shared" si="10"/>
        <v>100</v>
      </c>
      <c r="N156" s="104" t="str" cm="1">
        <f t="array" ref="N156">_xlfn.IFS(J156&gt;=H156,"0",J156&lt;H156,"100")</f>
        <v>100</v>
      </c>
      <c r="O156" s="13" t="s">
        <v>924</v>
      </c>
      <c r="P156" s="14">
        <f t="shared" si="12"/>
        <v>45978</v>
      </c>
      <c r="Q156" s="62">
        <f t="shared" si="13"/>
        <v>30</v>
      </c>
      <c r="R156" s="13" t="s">
        <v>51</v>
      </c>
    </row>
    <row r="157" spans="1:19" x14ac:dyDescent="0.2">
      <c r="A157" s="13" t="s">
        <v>753</v>
      </c>
      <c r="B157" s="13" t="s">
        <v>480</v>
      </c>
      <c r="C157" s="68" t="s">
        <v>646</v>
      </c>
      <c r="D157" s="14">
        <v>45943</v>
      </c>
      <c r="E157" s="13" t="s">
        <v>765</v>
      </c>
      <c r="F157" s="13" t="s">
        <v>759</v>
      </c>
      <c r="G157" s="68">
        <v>70000</v>
      </c>
      <c r="H157" s="58">
        <v>7</v>
      </c>
      <c r="I157" s="14">
        <v>45949</v>
      </c>
      <c r="J157" s="55">
        <f t="shared" si="11"/>
        <v>6</v>
      </c>
      <c r="K157" s="89">
        <v>6</v>
      </c>
      <c r="L157" s="89" t="s">
        <v>732</v>
      </c>
      <c r="M157" s="56" t="str">
        <f t="shared" si="10"/>
        <v>100</v>
      </c>
      <c r="N157" s="104" t="str" cm="1">
        <f t="array" ref="N157">_xlfn.IFS(J157&gt;=H157,"0",J157&lt;H157,"100")</f>
        <v>100</v>
      </c>
      <c r="O157" s="13" t="s">
        <v>925</v>
      </c>
      <c r="P157" s="14">
        <f t="shared" si="12"/>
        <v>45979</v>
      </c>
      <c r="Q157" s="62">
        <f t="shared" si="13"/>
        <v>30</v>
      </c>
      <c r="R157" s="13" t="s">
        <v>51</v>
      </c>
    </row>
    <row r="158" spans="1:19" x14ac:dyDescent="0.2">
      <c r="A158" s="13" t="s">
        <v>753</v>
      </c>
      <c r="B158" s="13" t="s">
        <v>480</v>
      </c>
      <c r="C158" s="68" t="s">
        <v>647</v>
      </c>
      <c r="D158" s="14">
        <v>45944</v>
      </c>
      <c r="E158" s="13" t="s">
        <v>765</v>
      </c>
      <c r="F158" s="13" t="s">
        <v>759</v>
      </c>
      <c r="G158" s="68">
        <v>70000</v>
      </c>
      <c r="H158" s="58">
        <v>7</v>
      </c>
      <c r="I158" s="14">
        <v>45950</v>
      </c>
      <c r="J158" s="55">
        <f t="shared" si="11"/>
        <v>6</v>
      </c>
      <c r="K158" s="89">
        <v>6</v>
      </c>
      <c r="L158" s="89" t="s">
        <v>732</v>
      </c>
      <c r="M158" s="56" t="str">
        <f t="shared" si="10"/>
        <v>100</v>
      </c>
      <c r="N158" s="104" t="str" cm="1">
        <f t="array" ref="N158">_xlfn.IFS(J158&gt;=H158,"0",J158&lt;H158,"100")</f>
        <v>100</v>
      </c>
      <c r="O158" s="13" t="s">
        <v>926</v>
      </c>
      <c r="P158" s="14">
        <f t="shared" si="12"/>
        <v>45980</v>
      </c>
      <c r="Q158" s="62">
        <f t="shared" si="13"/>
        <v>30</v>
      </c>
      <c r="R158" s="13" t="s">
        <v>51</v>
      </c>
    </row>
    <row r="159" spans="1:19" x14ac:dyDescent="0.2">
      <c r="A159" s="13" t="s">
        <v>753</v>
      </c>
      <c r="B159" s="13" t="s">
        <v>480</v>
      </c>
      <c r="C159" s="68" t="s">
        <v>648</v>
      </c>
      <c r="D159" s="14">
        <v>45945</v>
      </c>
      <c r="E159" s="13" t="s">
        <v>765</v>
      </c>
      <c r="F159" s="13" t="s">
        <v>759</v>
      </c>
      <c r="G159" s="68">
        <v>70000</v>
      </c>
      <c r="H159" s="58">
        <v>7</v>
      </c>
      <c r="I159" s="14">
        <v>45951</v>
      </c>
      <c r="J159" s="55">
        <f t="shared" si="11"/>
        <v>6</v>
      </c>
      <c r="K159" s="89">
        <v>6</v>
      </c>
      <c r="L159" s="89" t="s">
        <v>732</v>
      </c>
      <c r="M159" s="56" t="str">
        <f t="shared" si="10"/>
        <v>100</v>
      </c>
      <c r="N159" s="104" t="str" cm="1">
        <f t="array" ref="N159">_xlfn.IFS(J159&gt;=H159,"0",J159&lt;H159,"100")</f>
        <v>100</v>
      </c>
      <c r="O159" s="13" t="s">
        <v>927</v>
      </c>
      <c r="P159" s="14">
        <f t="shared" si="12"/>
        <v>45981</v>
      </c>
      <c r="Q159" s="62">
        <f t="shared" si="13"/>
        <v>30</v>
      </c>
      <c r="R159" s="13" t="s">
        <v>51</v>
      </c>
    </row>
    <row r="160" spans="1:19" x14ac:dyDescent="0.2">
      <c r="A160" s="13" t="s">
        <v>753</v>
      </c>
      <c r="B160" s="13" t="s">
        <v>480</v>
      </c>
      <c r="C160" s="68" t="s">
        <v>649</v>
      </c>
      <c r="D160" s="14">
        <v>45946</v>
      </c>
      <c r="E160" s="13" t="s">
        <v>765</v>
      </c>
      <c r="F160" s="13" t="s">
        <v>759</v>
      </c>
      <c r="G160" s="68">
        <v>70000</v>
      </c>
      <c r="H160" s="58">
        <v>7</v>
      </c>
      <c r="I160" s="14">
        <v>45952</v>
      </c>
      <c r="J160" s="55">
        <f t="shared" si="11"/>
        <v>6</v>
      </c>
      <c r="K160" s="89">
        <v>6</v>
      </c>
      <c r="L160" s="89" t="s">
        <v>732</v>
      </c>
      <c r="M160" s="56" t="str">
        <f t="shared" si="10"/>
        <v>100</v>
      </c>
      <c r="N160" s="104" t="str" cm="1">
        <f t="array" ref="N160">_xlfn.IFS(J160&gt;=H160,"0",J160&lt;H160,"100")</f>
        <v>100</v>
      </c>
      <c r="O160" s="13" t="s">
        <v>928</v>
      </c>
      <c r="P160" s="14">
        <f t="shared" si="12"/>
        <v>45982</v>
      </c>
      <c r="Q160" s="62">
        <f t="shared" si="13"/>
        <v>30</v>
      </c>
      <c r="R160" s="13" t="s">
        <v>51</v>
      </c>
    </row>
    <row r="161" spans="1:18" x14ac:dyDescent="0.2">
      <c r="A161" s="13" t="s">
        <v>753</v>
      </c>
      <c r="B161" s="13" t="s">
        <v>480</v>
      </c>
      <c r="C161" s="68" t="s">
        <v>650</v>
      </c>
      <c r="D161" s="14">
        <v>45947</v>
      </c>
      <c r="E161" s="13" t="s">
        <v>765</v>
      </c>
      <c r="F161" s="13" t="s">
        <v>759</v>
      </c>
      <c r="G161" s="68">
        <v>70000</v>
      </c>
      <c r="H161" s="58">
        <v>7</v>
      </c>
      <c r="I161" s="14">
        <v>45953</v>
      </c>
      <c r="J161" s="55">
        <f t="shared" si="11"/>
        <v>6</v>
      </c>
      <c r="K161" s="89">
        <v>6</v>
      </c>
      <c r="L161" s="89" t="s">
        <v>732</v>
      </c>
      <c r="M161" s="56" t="str">
        <f t="shared" si="10"/>
        <v>100</v>
      </c>
      <c r="N161" s="104" t="str" cm="1">
        <f t="array" ref="N161">_xlfn.IFS(J161&gt;=H161,"0",J161&lt;H161,"100")</f>
        <v>100</v>
      </c>
      <c r="O161" s="13" t="s">
        <v>929</v>
      </c>
      <c r="P161" s="14">
        <f t="shared" si="12"/>
        <v>45983</v>
      </c>
      <c r="Q161" s="62">
        <f t="shared" si="13"/>
        <v>30</v>
      </c>
      <c r="R161" s="13" t="s">
        <v>51</v>
      </c>
    </row>
    <row r="162" spans="1:18" x14ac:dyDescent="0.2">
      <c r="A162" s="13" t="s">
        <v>753</v>
      </c>
      <c r="B162" s="13" t="s">
        <v>480</v>
      </c>
      <c r="C162" s="68" t="s">
        <v>651</v>
      </c>
      <c r="D162" s="14">
        <v>45948</v>
      </c>
      <c r="E162" s="13" t="s">
        <v>765</v>
      </c>
      <c r="F162" s="13" t="s">
        <v>759</v>
      </c>
      <c r="G162" s="68">
        <v>70000</v>
      </c>
      <c r="H162" s="58">
        <v>7</v>
      </c>
      <c r="I162" s="14">
        <v>45954</v>
      </c>
      <c r="J162" s="55">
        <f t="shared" si="11"/>
        <v>6</v>
      </c>
      <c r="K162" s="89">
        <v>6</v>
      </c>
      <c r="L162" s="89" t="s">
        <v>732</v>
      </c>
      <c r="M162" s="56" t="str">
        <f t="shared" si="10"/>
        <v>100</v>
      </c>
      <c r="N162" s="104" t="str" cm="1">
        <f t="array" ref="N162">_xlfn.IFS(J162&gt;=H162,"0",J162&lt;H162,"100")</f>
        <v>100</v>
      </c>
      <c r="O162" s="13" t="s">
        <v>930</v>
      </c>
      <c r="P162" s="14">
        <f t="shared" si="12"/>
        <v>45984</v>
      </c>
      <c r="Q162" s="62">
        <f t="shared" si="13"/>
        <v>30</v>
      </c>
      <c r="R162" s="13" t="s">
        <v>51</v>
      </c>
    </row>
    <row r="163" spans="1:18" x14ac:dyDescent="0.2">
      <c r="A163" s="13" t="s">
        <v>753</v>
      </c>
      <c r="B163" s="13" t="s">
        <v>480</v>
      </c>
      <c r="C163" s="68" t="s">
        <v>652</v>
      </c>
      <c r="D163" s="14">
        <v>45949</v>
      </c>
      <c r="E163" s="13" t="s">
        <v>765</v>
      </c>
      <c r="F163" s="13" t="s">
        <v>759</v>
      </c>
      <c r="G163" s="68">
        <v>70000</v>
      </c>
      <c r="H163" s="58">
        <v>7</v>
      </c>
      <c r="I163" s="14">
        <v>45955</v>
      </c>
      <c r="J163" s="55">
        <f t="shared" si="11"/>
        <v>6</v>
      </c>
      <c r="K163" s="89">
        <v>6</v>
      </c>
      <c r="L163" s="89" t="s">
        <v>732</v>
      </c>
      <c r="M163" s="56" t="str">
        <f t="shared" si="10"/>
        <v>100</v>
      </c>
      <c r="N163" s="104" t="str" cm="1">
        <f t="array" ref="N163">_xlfn.IFS(J163&gt;=H163,"0",J163&lt;H163,"100")</f>
        <v>100</v>
      </c>
      <c r="O163" s="13" t="s">
        <v>931</v>
      </c>
      <c r="P163" s="14">
        <f t="shared" si="12"/>
        <v>45985</v>
      </c>
      <c r="Q163" s="62">
        <f t="shared" si="13"/>
        <v>30</v>
      </c>
      <c r="R163" s="13" t="s">
        <v>51</v>
      </c>
    </row>
    <row r="164" spans="1:18" x14ac:dyDescent="0.2">
      <c r="A164" s="13" t="s">
        <v>753</v>
      </c>
      <c r="B164" s="13" t="s">
        <v>480</v>
      </c>
      <c r="C164" s="68" t="s">
        <v>653</v>
      </c>
      <c r="D164" s="14">
        <v>45950</v>
      </c>
      <c r="E164" s="13" t="s">
        <v>765</v>
      </c>
      <c r="F164" s="13" t="s">
        <v>759</v>
      </c>
      <c r="G164" s="68">
        <v>70000</v>
      </c>
      <c r="H164" s="58">
        <v>7</v>
      </c>
      <c r="I164" s="14">
        <v>45956</v>
      </c>
      <c r="J164" s="55">
        <f t="shared" si="11"/>
        <v>6</v>
      </c>
      <c r="K164" s="89">
        <v>6</v>
      </c>
      <c r="L164" s="89" t="s">
        <v>732</v>
      </c>
      <c r="M164" s="56" t="str">
        <f t="shared" si="10"/>
        <v>100</v>
      </c>
      <c r="N164" s="104" t="str" cm="1">
        <f t="array" ref="N164">_xlfn.IFS(J164&gt;=H164,"0",J164&lt;H164,"100")</f>
        <v>100</v>
      </c>
      <c r="O164" s="13" t="s">
        <v>932</v>
      </c>
      <c r="P164" s="14">
        <f t="shared" si="12"/>
        <v>45986</v>
      </c>
      <c r="Q164" s="62">
        <f t="shared" si="13"/>
        <v>30</v>
      </c>
      <c r="R164" s="13" t="s">
        <v>51</v>
      </c>
    </row>
    <row r="165" spans="1:18" x14ac:dyDescent="0.2">
      <c r="A165" s="13" t="s">
        <v>753</v>
      </c>
      <c r="B165" s="13" t="s">
        <v>480</v>
      </c>
      <c r="C165" s="68" t="s">
        <v>654</v>
      </c>
      <c r="D165" s="14">
        <v>45951</v>
      </c>
      <c r="E165" s="13" t="s">
        <v>765</v>
      </c>
      <c r="F165" s="13" t="s">
        <v>759</v>
      </c>
      <c r="G165" s="68">
        <v>70000</v>
      </c>
      <c r="H165" s="58">
        <v>7</v>
      </c>
      <c r="I165" s="14">
        <v>45957</v>
      </c>
      <c r="J165" s="55">
        <f t="shared" si="11"/>
        <v>6</v>
      </c>
      <c r="K165" s="89">
        <v>6</v>
      </c>
      <c r="L165" s="89" t="s">
        <v>732</v>
      </c>
      <c r="M165" s="56" t="str">
        <f t="shared" si="10"/>
        <v>100</v>
      </c>
      <c r="N165" s="104" t="str" cm="1">
        <f t="array" ref="N165">_xlfn.IFS(J165&gt;=H165,"0",J165&lt;H165,"100")</f>
        <v>100</v>
      </c>
      <c r="O165" s="13" t="s">
        <v>933</v>
      </c>
      <c r="P165" s="14">
        <f t="shared" si="12"/>
        <v>45987</v>
      </c>
      <c r="Q165" s="62">
        <f t="shared" si="13"/>
        <v>30</v>
      </c>
      <c r="R165" s="13" t="s">
        <v>51</v>
      </c>
    </row>
    <row r="166" spans="1:18" x14ac:dyDescent="0.2">
      <c r="A166" s="13" t="s">
        <v>753</v>
      </c>
      <c r="B166" s="13" t="s">
        <v>480</v>
      </c>
      <c r="C166" s="68" t="s">
        <v>655</v>
      </c>
      <c r="D166" s="14">
        <v>45952</v>
      </c>
      <c r="E166" s="86" t="s">
        <v>389</v>
      </c>
      <c r="F166" s="13" t="s">
        <v>759</v>
      </c>
      <c r="G166" s="68">
        <v>70000</v>
      </c>
      <c r="H166" s="58">
        <v>7</v>
      </c>
      <c r="I166" s="14">
        <v>45958</v>
      </c>
      <c r="J166" s="55">
        <f t="shared" si="11"/>
        <v>6</v>
      </c>
      <c r="K166" s="89">
        <v>6</v>
      </c>
      <c r="L166" s="89" t="s">
        <v>732</v>
      </c>
      <c r="M166" s="56" t="str">
        <f t="shared" si="10"/>
        <v>100</v>
      </c>
      <c r="N166" s="104" t="str" cm="1">
        <f t="array" ref="N166">_xlfn.IFS(J166&gt;=H166,"0",J166&lt;H166,"100")</f>
        <v>100</v>
      </c>
      <c r="O166" s="13" t="s">
        <v>934</v>
      </c>
      <c r="P166" s="14">
        <f t="shared" si="12"/>
        <v>45988</v>
      </c>
      <c r="Q166" s="62">
        <f t="shared" si="13"/>
        <v>30</v>
      </c>
      <c r="R166" s="13" t="s">
        <v>51</v>
      </c>
    </row>
    <row r="167" spans="1:18" x14ac:dyDescent="0.2">
      <c r="A167" s="13" t="s">
        <v>753</v>
      </c>
      <c r="B167" s="13" t="s">
        <v>480</v>
      </c>
      <c r="C167" s="68" t="s">
        <v>656</v>
      </c>
      <c r="D167" s="14">
        <v>45953</v>
      </c>
      <c r="E167" s="86" t="s">
        <v>389</v>
      </c>
      <c r="F167" s="13" t="s">
        <v>759</v>
      </c>
      <c r="G167" s="68">
        <v>70000</v>
      </c>
      <c r="H167" s="58">
        <v>7</v>
      </c>
      <c r="I167" s="14">
        <v>45959</v>
      </c>
      <c r="J167" s="55">
        <f t="shared" si="11"/>
        <v>6</v>
      </c>
      <c r="K167" s="89">
        <v>6</v>
      </c>
      <c r="L167" s="89" t="s">
        <v>732</v>
      </c>
      <c r="M167" s="56" t="str">
        <f t="shared" si="10"/>
        <v>100</v>
      </c>
      <c r="N167" s="104" t="str" cm="1">
        <f t="array" ref="N167">_xlfn.IFS(J167&gt;=H167,"0",J167&lt;H167,"100")</f>
        <v>100</v>
      </c>
      <c r="O167" s="13" t="s">
        <v>935</v>
      </c>
      <c r="P167" s="14">
        <f t="shared" si="12"/>
        <v>45989</v>
      </c>
      <c r="Q167" s="62">
        <f t="shared" si="13"/>
        <v>30</v>
      </c>
      <c r="R167" s="13" t="s">
        <v>51</v>
      </c>
    </row>
    <row r="168" spans="1:18" x14ac:dyDescent="0.2">
      <c r="A168" s="13" t="s">
        <v>753</v>
      </c>
      <c r="B168" s="13" t="s">
        <v>480</v>
      </c>
      <c r="C168" s="68" t="s">
        <v>657</v>
      </c>
      <c r="D168" s="14">
        <v>45954</v>
      </c>
      <c r="E168" s="86" t="s">
        <v>389</v>
      </c>
      <c r="F168" s="13" t="s">
        <v>759</v>
      </c>
      <c r="G168" s="68">
        <v>70000</v>
      </c>
      <c r="H168" s="58">
        <v>7</v>
      </c>
      <c r="I168" s="14">
        <v>45960</v>
      </c>
      <c r="J168" s="55">
        <f t="shared" si="11"/>
        <v>6</v>
      </c>
      <c r="K168" s="89">
        <v>6</v>
      </c>
      <c r="L168" s="89" t="s">
        <v>732</v>
      </c>
      <c r="M168" s="56" t="str">
        <f t="shared" si="10"/>
        <v>100</v>
      </c>
      <c r="N168" s="104" t="str" cm="1">
        <f t="array" ref="N168">_xlfn.IFS(J168&gt;=H168,"0",J168&lt;H168,"100")</f>
        <v>100</v>
      </c>
      <c r="O168" s="13" t="s">
        <v>936</v>
      </c>
      <c r="P168" s="14">
        <f t="shared" si="12"/>
        <v>45990</v>
      </c>
      <c r="Q168" s="62">
        <f t="shared" si="13"/>
        <v>30</v>
      </c>
      <c r="R168" s="13" t="s">
        <v>51</v>
      </c>
    </row>
    <row r="169" spans="1:18" x14ac:dyDescent="0.2">
      <c r="A169" s="13" t="s">
        <v>753</v>
      </c>
      <c r="B169" s="13" t="s">
        <v>480</v>
      </c>
      <c r="C169" s="68" t="s">
        <v>658</v>
      </c>
      <c r="D169" s="14">
        <v>45955</v>
      </c>
      <c r="E169" s="86" t="s">
        <v>389</v>
      </c>
      <c r="F169" s="13" t="s">
        <v>759</v>
      </c>
      <c r="G169" s="68">
        <v>70000</v>
      </c>
      <c r="H169" s="58">
        <v>7</v>
      </c>
      <c r="I169" s="14">
        <v>45961</v>
      </c>
      <c r="J169" s="55">
        <f t="shared" si="11"/>
        <v>6</v>
      </c>
      <c r="K169" s="89">
        <v>6</v>
      </c>
      <c r="L169" s="89" t="s">
        <v>732</v>
      </c>
      <c r="M169" s="56" t="str">
        <f t="shared" si="10"/>
        <v>100</v>
      </c>
      <c r="N169" s="104" t="str" cm="1">
        <f t="array" ref="N169">_xlfn.IFS(J169&gt;=H169,"0",J169&lt;H169,"100")</f>
        <v>100</v>
      </c>
      <c r="O169" s="13" t="s">
        <v>937</v>
      </c>
      <c r="P169" s="14">
        <f t="shared" si="12"/>
        <v>45991</v>
      </c>
      <c r="Q169" s="62">
        <f t="shared" si="13"/>
        <v>30</v>
      </c>
      <c r="R169" s="13" t="s">
        <v>51</v>
      </c>
    </row>
    <row r="170" spans="1:18" x14ac:dyDescent="0.2">
      <c r="A170" s="13" t="s">
        <v>753</v>
      </c>
      <c r="B170" s="13" t="s">
        <v>480</v>
      </c>
      <c r="C170" s="68" t="s">
        <v>659</v>
      </c>
      <c r="D170" s="14">
        <v>45956</v>
      </c>
      <c r="E170" s="86" t="s">
        <v>389</v>
      </c>
      <c r="F170" s="13" t="s">
        <v>759</v>
      </c>
      <c r="G170" s="68">
        <v>70000</v>
      </c>
      <c r="H170" s="58">
        <v>7</v>
      </c>
      <c r="I170" s="14">
        <v>45959</v>
      </c>
      <c r="J170" s="55">
        <f t="shared" si="11"/>
        <v>3</v>
      </c>
      <c r="K170" s="89">
        <v>3</v>
      </c>
      <c r="L170" s="89" t="s">
        <v>732</v>
      </c>
      <c r="M170" s="56" t="str">
        <f t="shared" si="10"/>
        <v>100</v>
      </c>
      <c r="N170" s="104" t="str" cm="1">
        <f t="array" ref="N170">_xlfn.IFS(J170&gt;=H170,"0",J170&lt;H170,"100")</f>
        <v>100</v>
      </c>
      <c r="O170" s="13" t="s">
        <v>938</v>
      </c>
      <c r="P170" s="14">
        <f t="shared" si="12"/>
        <v>45989</v>
      </c>
      <c r="Q170" s="62">
        <f t="shared" si="13"/>
        <v>30</v>
      </c>
      <c r="R170" s="13" t="s">
        <v>51</v>
      </c>
    </row>
    <row r="171" spans="1:18" x14ac:dyDescent="0.2">
      <c r="A171" s="13" t="s">
        <v>753</v>
      </c>
      <c r="B171" s="13" t="s">
        <v>480</v>
      </c>
      <c r="C171" s="68" t="s">
        <v>660</v>
      </c>
      <c r="D171" s="14">
        <v>45957</v>
      </c>
      <c r="E171" s="86" t="s">
        <v>389</v>
      </c>
      <c r="F171" s="13" t="s">
        <v>759</v>
      </c>
      <c r="G171" s="68">
        <v>70000</v>
      </c>
      <c r="H171" s="58">
        <v>7</v>
      </c>
      <c r="I171" s="14">
        <v>45960</v>
      </c>
      <c r="J171" s="55">
        <f t="shared" si="11"/>
        <v>3</v>
      </c>
      <c r="K171" s="89">
        <v>3</v>
      </c>
      <c r="L171" s="89" t="s">
        <v>732</v>
      </c>
      <c r="M171" s="56" t="str">
        <f t="shared" si="10"/>
        <v>100</v>
      </c>
      <c r="N171" s="104" t="str" cm="1">
        <f t="array" ref="N171">_xlfn.IFS(J171&gt;=H171,"0",J171&lt;H171,"100")</f>
        <v>100</v>
      </c>
      <c r="O171" s="13" t="s">
        <v>939</v>
      </c>
      <c r="P171" s="14">
        <f t="shared" si="12"/>
        <v>45990</v>
      </c>
      <c r="Q171" s="62">
        <f t="shared" si="13"/>
        <v>30</v>
      </c>
      <c r="R171" s="13" t="s">
        <v>51</v>
      </c>
    </row>
    <row r="172" spans="1:18" x14ac:dyDescent="0.2">
      <c r="A172" s="13" t="s">
        <v>753</v>
      </c>
      <c r="B172" s="13" t="s">
        <v>480</v>
      </c>
      <c r="C172" s="68" t="s">
        <v>661</v>
      </c>
      <c r="D172" s="14">
        <v>45958</v>
      </c>
      <c r="E172" s="86" t="s">
        <v>389</v>
      </c>
      <c r="F172" s="13" t="s">
        <v>759</v>
      </c>
      <c r="G172" s="68">
        <v>70000</v>
      </c>
      <c r="H172" s="58">
        <v>7</v>
      </c>
      <c r="I172" s="14">
        <v>45961</v>
      </c>
      <c r="J172" s="55">
        <f t="shared" si="11"/>
        <v>3</v>
      </c>
      <c r="K172" s="89">
        <v>3</v>
      </c>
      <c r="L172" s="89" t="s">
        <v>732</v>
      </c>
      <c r="M172" s="56" t="str">
        <f t="shared" si="10"/>
        <v>100</v>
      </c>
      <c r="N172" s="104" t="str" cm="1">
        <f t="array" ref="N172">_xlfn.IFS(J172&gt;=H172,"0",J172&lt;H172,"100")</f>
        <v>100</v>
      </c>
      <c r="O172" s="13" t="s">
        <v>940</v>
      </c>
      <c r="P172" s="14">
        <f t="shared" si="12"/>
        <v>45991</v>
      </c>
      <c r="Q172" s="62">
        <f t="shared" si="13"/>
        <v>30</v>
      </c>
      <c r="R172" s="13" t="s">
        <v>51</v>
      </c>
    </row>
    <row r="173" spans="1:18" x14ac:dyDescent="0.2">
      <c r="A173" s="13" t="s">
        <v>753</v>
      </c>
      <c r="B173" s="13" t="s">
        <v>480</v>
      </c>
      <c r="C173" s="68" t="s">
        <v>662</v>
      </c>
      <c r="D173" s="14">
        <v>45959</v>
      </c>
      <c r="E173" s="86" t="s">
        <v>389</v>
      </c>
      <c r="F173" s="13" t="s">
        <v>759</v>
      </c>
      <c r="G173" s="68">
        <v>70000</v>
      </c>
      <c r="H173" s="58">
        <v>7</v>
      </c>
      <c r="I173" s="14">
        <v>45962</v>
      </c>
      <c r="J173" s="55">
        <f t="shared" si="11"/>
        <v>3</v>
      </c>
      <c r="K173" s="89">
        <v>3</v>
      </c>
      <c r="L173" s="89" t="s">
        <v>732</v>
      </c>
      <c r="M173" s="56" t="str">
        <f t="shared" si="10"/>
        <v>100</v>
      </c>
      <c r="N173" s="104" t="str" cm="1">
        <f t="array" ref="N173">_xlfn.IFS(J173&gt;=H173,"0",J173&lt;H173,"100")</f>
        <v>100</v>
      </c>
      <c r="O173" s="13" t="s">
        <v>941</v>
      </c>
      <c r="P173" s="14">
        <f t="shared" si="12"/>
        <v>45992</v>
      </c>
      <c r="Q173" s="62">
        <f t="shared" si="13"/>
        <v>30</v>
      </c>
      <c r="R173" s="13" t="s">
        <v>51</v>
      </c>
    </row>
    <row r="174" spans="1:18" x14ac:dyDescent="0.2">
      <c r="A174" s="13" t="s">
        <v>753</v>
      </c>
      <c r="B174" s="13" t="s">
        <v>480</v>
      </c>
      <c r="C174" s="68" t="s">
        <v>663</v>
      </c>
      <c r="D174" s="14">
        <v>45960</v>
      </c>
      <c r="E174" s="86" t="s">
        <v>389</v>
      </c>
      <c r="F174" s="13" t="s">
        <v>759</v>
      </c>
      <c r="G174" s="68">
        <v>70000</v>
      </c>
      <c r="H174" s="58">
        <v>7</v>
      </c>
      <c r="I174" s="14">
        <v>45963</v>
      </c>
      <c r="J174" s="55">
        <f t="shared" si="11"/>
        <v>3</v>
      </c>
      <c r="K174" s="89">
        <v>3</v>
      </c>
      <c r="L174" s="89" t="s">
        <v>732</v>
      </c>
      <c r="M174" s="56" t="str">
        <f t="shared" si="10"/>
        <v>100</v>
      </c>
      <c r="N174" s="104" t="str" cm="1">
        <f t="array" ref="N174">_xlfn.IFS(J174&gt;=H174,"0",J174&lt;H174,"100")</f>
        <v>100</v>
      </c>
      <c r="O174" s="13" t="s">
        <v>942</v>
      </c>
      <c r="P174" s="14">
        <f t="shared" si="12"/>
        <v>45993</v>
      </c>
      <c r="Q174" s="62">
        <f t="shared" si="13"/>
        <v>30</v>
      </c>
      <c r="R174" s="13" t="s">
        <v>51</v>
      </c>
    </row>
    <row r="175" spans="1:18" x14ac:dyDescent="0.2">
      <c r="A175" s="13" t="s">
        <v>753</v>
      </c>
      <c r="B175" s="13" t="s">
        <v>480</v>
      </c>
      <c r="C175" s="68" t="s">
        <v>664</v>
      </c>
      <c r="D175" s="14">
        <v>45961</v>
      </c>
      <c r="E175" s="86" t="s">
        <v>389</v>
      </c>
      <c r="F175" s="13" t="s">
        <v>759</v>
      </c>
      <c r="G175" s="68">
        <v>70000</v>
      </c>
      <c r="H175" s="58">
        <v>7</v>
      </c>
      <c r="I175" s="14">
        <v>45964</v>
      </c>
      <c r="J175" s="55">
        <f t="shared" si="11"/>
        <v>3</v>
      </c>
      <c r="K175" s="89">
        <v>3</v>
      </c>
      <c r="L175" s="89" t="s">
        <v>732</v>
      </c>
      <c r="M175" s="56" t="str">
        <f t="shared" si="10"/>
        <v>100</v>
      </c>
      <c r="N175" s="104" t="str" cm="1">
        <f t="array" ref="N175">_xlfn.IFS(J175&gt;=H175,"0",J175&lt;H175,"100")</f>
        <v>100</v>
      </c>
      <c r="O175" s="13" t="s">
        <v>943</v>
      </c>
      <c r="P175" s="14">
        <f t="shared" si="12"/>
        <v>45994</v>
      </c>
      <c r="Q175" s="62">
        <f t="shared" si="13"/>
        <v>30</v>
      </c>
      <c r="R175" s="13" t="s">
        <v>51</v>
      </c>
    </row>
    <row r="176" spans="1:18" x14ac:dyDescent="0.2">
      <c r="A176" s="13" t="s">
        <v>753</v>
      </c>
      <c r="B176" s="13" t="s">
        <v>480</v>
      </c>
      <c r="C176" s="68" t="s">
        <v>665</v>
      </c>
      <c r="D176" s="14">
        <v>45933</v>
      </c>
      <c r="E176" s="86" t="s">
        <v>389</v>
      </c>
      <c r="F176" s="13" t="s">
        <v>759</v>
      </c>
      <c r="G176" s="68">
        <v>70000</v>
      </c>
      <c r="H176" s="58">
        <v>7</v>
      </c>
      <c r="I176" s="14">
        <v>45938</v>
      </c>
      <c r="J176" s="55">
        <f t="shared" si="11"/>
        <v>5</v>
      </c>
      <c r="K176" s="89">
        <v>5</v>
      </c>
      <c r="L176" s="89" t="s">
        <v>732</v>
      </c>
      <c r="M176" s="56" t="str">
        <f t="shared" si="10"/>
        <v>100</v>
      </c>
      <c r="N176" s="104" t="str" cm="1">
        <f t="array" ref="N176">_xlfn.IFS(J176&gt;=H176,"0",J176&lt;H176,"100")</f>
        <v>100</v>
      </c>
      <c r="O176" s="13" t="s">
        <v>944</v>
      </c>
      <c r="P176" s="14">
        <f t="shared" si="12"/>
        <v>45968</v>
      </c>
      <c r="Q176" s="62">
        <f t="shared" si="13"/>
        <v>30</v>
      </c>
      <c r="R176" s="13" t="s">
        <v>51</v>
      </c>
    </row>
    <row r="177" spans="1:18" x14ac:dyDescent="0.2">
      <c r="A177" s="13" t="s">
        <v>753</v>
      </c>
      <c r="B177" s="13" t="s">
        <v>480</v>
      </c>
      <c r="C177" s="68" t="s">
        <v>666</v>
      </c>
      <c r="D177" s="14">
        <v>45934</v>
      </c>
      <c r="E177" s="86" t="s">
        <v>389</v>
      </c>
      <c r="F177" s="13" t="s">
        <v>759</v>
      </c>
      <c r="G177" s="68">
        <v>70000</v>
      </c>
      <c r="H177" s="58">
        <v>7</v>
      </c>
      <c r="I177" s="14">
        <v>45939</v>
      </c>
      <c r="J177" s="55">
        <f t="shared" si="11"/>
        <v>5</v>
      </c>
      <c r="K177" s="89">
        <v>5</v>
      </c>
      <c r="L177" s="89" t="s">
        <v>732</v>
      </c>
      <c r="M177" s="56" t="str">
        <f t="shared" si="10"/>
        <v>100</v>
      </c>
      <c r="N177" s="104" t="str" cm="1">
        <f t="array" ref="N177">_xlfn.IFS(J177&gt;=H177,"0",J177&lt;H177,"100")</f>
        <v>100</v>
      </c>
      <c r="O177" s="13" t="s">
        <v>945</v>
      </c>
      <c r="P177" s="14">
        <f t="shared" si="12"/>
        <v>45969</v>
      </c>
      <c r="Q177" s="62">
        <f t="shared" si="13"/>
        <v>30</v>
      </c>
      <c r="R177" s="13" t="s">
        <v>51</v>
      </c>
    </row>
    <row r="178" spans="1:18" x14ac:dyDescent="0.2">
      <c r="A178" s="13" t="s">
        <v>753</v>
      </c>
      <c r="B178" s="13" t="s">
        <v>480</v>
      </c>
      <c r="C178" s="68" t="s">
        <v>667</v>
      </c>
      <c r="D178" s="14">
        <v>45935</v>
      </c>
      <c r="E178" s="86" t="s">
        <v>389</v>
      </c>
      <c r="F178" s="13" t="s">
        <v>759</v>
      </c>
      <c r="G178" s="68">
        <v>70000</v>
      </c>
      <c r="H178" s="58">
        <v>7</v>
      </c>
      <c r="I178" s="14">
        <v>45940</v>
      </c>
      <c r="J178" s="55">
        <f t="shared" si="11"/>
        <v>5</v>
      </c>
      <c r="K178" s="89">
        <v>5</v>
      </c>
      <c r="L178" s="89" t="s">
        <v>732</v>
      </c>
      <c r="M178" s="56" t="str">
        <f t="shared" si="10"/>
        <v>100</v>
      </c>
      <c r="N178" s="104" t="str" cm="1">
        <f t="array" ref="N178">_xlfn.IFS(J178&gt;=H178,"0",J178&lt;H178,"100")</f>
        <v>100</v>
      </c>
      <c r="O178" s="13" t="s">
        <v>946</v>
      </c>
      <c r="P178" s="14">
        <f t="shared" si="12"/>
        <v>45970</v>
      </c>
      <c r="Q178" s="62">
        <f t="shared" si="13"/>
        <v>30</v>
      </c>
      <c r="R178" s="13" t="s">
        <v>51</v>
      </c>
    </row>
    <row r="179" spans="1:18" x14ac:dyDescent="0.2">
      <c r="A179" s="13" t="s">
        <v>753</v>
      </c>
      <c r="B179" s="13" t="s">
        <v>480</v>
      </c>
      <c r="C179" s="68" t="s">
        <v>668</v>
      </c>
      <c r="D179" s="14">
        <v>45936</v>
      </c>
      <c r="E179" s="86" t="s">
        <v>389</v>
      </c>
      <c r="F179" s="13" t="s">
        <v>759</v>
      </c>
      <c r="G179" s="68">
        <v>70000</v>
      </c>
      <c r="H179" s="58">
        <v>7</v>
      </c>
      <c r="I179" s="14">
        <v>45941</v>
      </c>
      <c r="J179" s="55">
        <f t="shared" si="11"/>
        <v>5</v>
      </c>
      <c r="K179" s="89">
        <v>5</v>
      </c>
      <c r="L179" s="89" t="s">
        <v>732</v>
      </c>
      <c r="M179" s="56" t="str">
        <f t="shared" si="10"/>
        <v>100</v>
      </c>
      <c r="N179" s="104" t="str" cm="1">
        <f t="array" ref="N179">_xlfn.IFS(J179&gt;=H179,"0",J179&lt;H179,"100")</f>
        <v>100</v>
      </c>
      <c r="O179" s="13" t="s">
        <v>947</v>
      </c>
      <c r="P179" s="14">
        <f t="shared" si="12"/>
        <v>45971</v>
      </c>
      <c r="Q179" s="62">
        <f t="shared" si="13"/>
        <v>30</v>
      </c>
      <c r="R179" s="13" t="s">
        <v>51</v>
      </c>
    </row>
    <row r="180" spans="1:18" x14ac:dyDescent="0.2">
      <c r="A180" s="13" t="s">
        <v>753</v>
      </c>
      <c r="B180" s="13" t="s">
        <v>480</v>
      </c>
      <c r="C180" s="68" t="s">
        <v>669</v>
      </c>
      <c r="D180" s="14">
        <v>45937</v>
      </c>
      <c r="E180" s="86" t="s">
        <v>389</v>
      </c>
      <c r="F180" s="13" t="s">
        <v>759</v>
      </c>
      <c r="G180" s="68">
        <v>70000</v>
      </c>
      <c r="H180" s="58">
        <v>7</v>
      </c>
      <c r="I180" s="14">
        <v>45942</v>
      </c>
      <c r="J180" s="55">
        <f t="shared" si="11"/>
        <v>5</v>
      </c>
      <c r="K180" s="89">
        <v>5</v>
      </c>
      <c r="L180" s="89" t="s">
        <v>732</v>
      </c>
      <c r="M180" s="56" t="str">
        <f t="shared" si="10"/>
        <v>100</v>
      </c>
      <c r="N180" s="104" t="str" cm="1">
        <f t="array" ref="N180">_xlfn.IFS(J180&gt;=H180,"0",J180&lt;H180,"100")</f>
        <v>100</v>
      </c>
      <c r="O180" s="13" t="s">
        <v>948</v>
      </c>
      <c r="P180" s="14">
        <f t="shared" si="12"/>
        <v>45972</v>
      </c>
      <c r="Q180" s="62">
        <f t="shared" si="13"/>
        <v>30</v>
      </c>
      <c r="R180" s="13" t="s">
        <v>51</v>
      </c>
    </row>
    <row r="181" spans="1:18" x14ac:dyDescent="0.2">
      <c r="A181" s="13" t="s">
        <v>753</v>
      </c>
      <c r="B181" s="13" t="s">
        <v>480</v>
      </c>
      <c r="C181" s="68" t="s">
        <v>670</v>
      </c>
      <c r="D181" s="14">
        <v>45938</v>
      </c>
      <c r="E181" s="86" t="s">
        <v>389</v>
      </c>
      <c r="F181" s="13" t="s">
        <v>759</v>
      </c>
      <c r="G181" s="68">
        <v>70000</v>
      </c>
      <c r="H181" s="58">
        <v>7</v>
      </c>
      <c r="I181" s="14">
        <v>45943</v>
      </c>
      <c r="J181" s="55">
        <f t="shared" si="11"/>
        <v>5</v>
      </c>
      <c r="K181" s="89">
        <v>5</v>
      </c>
      <c r="L181" s="89" t="s">
        <v>732</v>
      </c>
      <c r="M181" s="56" t="str">
        <f t="shared" si="10"/>
        <v>100</v>
      </c>
      <c r="N181" s="104" t="str" cm="1">
        <f t="array" ref="N181">_xlfn.IFS(J181&gt;=H181,"0",J181&lt;H181,"100")</f>
        <v>100</v>
      </c>
      <c r="O181" s="13" t="s">
        <v>949</v>
      </c>
      <c r="P181" s="14">
        <f t="shared" si="12"/>
        <v>45973</v>
      </c>
      <c r="Q181" s="62">
        <f t="shared" si="13"/>
        <v>30</v>
      </c>
      <c r="R181" s="13" t="s">
        <v>51</v>
      </c>
    </row>
    <row r="182" spans="1:18" x14ac:dyDescent="0.2">
      <c r="A182" s="13" t="s">
        <v>753</v>
      </c>
      <c r="B182" s="13" t="s">
        <v>480</v>
      </c>
      <c r="C182" s="68" t="s">
        <v>671</v>
      </c>
      <c r="D182" s="14">
        <v>45939</v>
      </c>
      <c r="E182" s="86" t="s">
        <v>389</v>
      </c>
      <c r="F182" s="13" t="s">
        <v>759</v>
      </c>
      <c r="G182" s="68">
        <v>70000</v>
      </c>
      <c r="H182" s="58">
        <v>7</v>
      </c>
      <c r="I182" s="14">
        <v>45944</v>
      </c>
      <c r="J182" s="55">
        <f t="shared" si="11"/>
        <v>5</v>
      </c>
      <c r="K182" s="89">
        <v>5</v>
      </c>
      <c r="L182" s="89" t="s">
        <v>732</v>
      </c>
      <c r="M182" s="56" t="str">
        <f t="shared" si="10"/>
        <v>100</v>
      </c>
      <c r="N182" s="104" t="str" cm="1">
        <f t="array" ref="N182">_xlfn.IFS(J182&gt;=H182,"0",J182&lt;H182,"100")</f>
        <v>100</v>
      </c>
      <c r="O182" s="13" t="s">
        <v>950</v>
      </c>
      <c r="P182" s="14">
        <f t="shared" si="12"/>
        <v>45974</v>
      </c>
      <c r="Q182" s="62">
        <f t="shared" si="13"/>
        <v>30</v>
      </c>
      <c r="R182" s="13" t="s">
        <v>51</v>
      </c>
    </row>
    <row r="183" spans="1:18" x14ac:dyDescent="0.2">
      <c r="A183" s="13" t="s">
        <v>753</v>
      </c>
      <c r="B183" s="13" t="s">
        <v>480</v>
      </c>
      <c r="C183" s="68" t="s">
        <v>672</v>
      </c>
      <c r="D183" s="14">
        <v>45940</v>
      </c>
      <c r="E183" s="86" t="s">
        <v>389</v>
      </c>
      <c r="F183" s="13" t="s">
        <v>759</v>
      </c>
      <c r="G183" s="68">
        <v>70000</v>
      </c>
      <c r="H183" s="58">
        <v>7</v>
      </c>
      <c r="I183" s="14">
        <v>45945</v>
      </c>
      <c r="J183" s="55">
        <f t="shared" si="11"/>
        <v>5</v>
      </c>
      <c r="K183" s="89">
        <v>5</v>
      </c>
      <c r="L183" s="89" t="s">
        <v>732</v>
      </c>
      <c r="M183" s="56" t="str">
        <f t="shared" si="10"/>
        <v>100</v>
      </c>
      <c r="N183" s="104" t="str" cm="1">
        <f t="array" ref="N183">_xlfn.IFS(J183&gt;=H183,"0",J183&lt;H183,"100")</f>
        <v>100</v>
      </c>
      <c r="O183" s="13" t="s">
        <v>951</v>
      </c>
      <c r="P183" s="14">
        <f t="shared" si="12"/>
        <v>45975</v>
      </c>
      <c r="Q183" s="62">
        <f t="shared" si="13"/>
        <v>30</v>
      </c>
      <c r="R183" s="13" t="s">
        <v>51</v>
      </c>
    </row>
    <row r="184" spans="1:18" x14ac:dyDescent="0.2">
      <c r="A184" s="13" t="s">
        <v>753</v>
      </c>
      <c r="B184" s="13" t="s">
        <v>480</v>
      </c>
      <c r="C184" s="68" t="s">
        <v>673</v>
      </c>
      <c r="D184" s="14">
        <v>45941</v>
      </c>
      <c r="E184" s="86" t="s">
        <v>389</v>
      </c>
      <c r="F184" s="13" t="s">
        <v>759</v>
      </c>
      <c r="G184" s="68">
        <v>70000</v>
      </c>
      <c r="H184" s="58">
        <v>7</v>
      </c>
      <c r="I184" s="14">
        <v>45946</v>
      </c>
      <c r="J184" s="55">
        <f t="shared" si="11"/>
        <v>5</v>
      </c>
      <c r="K184" s="89">
        <v>5</v>
      </c>
      <c r="L184" s="89" t="s">
        <v>732</v>
      </c>
      <c r="M184" s="56" t="str">
        <f t="shared" si="10"/>
        <v>100</v>
      </c>
      <c r="N184" s="104" t="str" cm="1">
        <f t="array" ref="N184">_xlfn.IFS(J184&gt;=H184,"0",J184&lt;H184,"100")</f>
        <v>100</v>
      </c>
      <c r="O184" s="13" t="s">
        <v>952</v>
      </c>
      <c r="P184" s="14">
        <f t="shared" si="12"/>
        <v>45976</v>
      </c>
      <c r="Q184" s="62">
        <f t="shared" si="13"/>
        <v>30</v>
      </c>
      <c r="R184" s="13" t="s">
        <v>51</v>
      </c>
    </row>
    <row r="185" spans="1:18" x14ac:dyDescent="0.2">
      <c r="A185" s="13" t="s">
        <v>753</v>
      </c>
      <c r="B185" s="13" t="s">
        <v>480</v>
      </c>
      <c r="C185" s="68" t="s">
        <v>674</v>
      </c>
      <c r="D185" s="14">
        <v>45942</v>
      </c>
      <c r="E185" s="86" t="s">
        <v>389</v>
      </c>
      <c r="F185" s="13" t="s">
        <v>759</v>
      </c>
      <c r="G185" s="68">
        <v>70000</v>
      </c>
      <c r="H185" s="58">
        <v>7</v>
      </c>
      <c r="I185" s="14">
        <v>45947</v>
      </c>
      <c r="J185" s="55">
        <f t="shared" si="11"/>
        <v>5</v>
      </c>
      <c r="K185" s="89">
        <v>5</v>
      </c>
      <c r="L185" s="89" t="s">
        <v>732</v>
      </c>
      <c r="M185" s="56" t="str">
        <f t="shared" si="10"/>
        <v>100</v>
      </c>
      <c r="N185" s="104" t="str" cm="1">
        <f t="array" ref="N185">_xlfn.IFS(J185&gt;=H185,"0",J185&lt;H185,"100")</f>
        <v>100</v>
      </c>
      <c r="O185" s="13" t="s">
        <v>953</v>
      </c>
      <c r="P185" s="14">
        <f t="shared" si="12"/>
        <v>45977</v>
      </c>
      <c r="Q185" s="62">
        <f t="shared" si="13"/>
        <v>30</v>
      </c>
      <c r="R185" s="13" t="s">
        <v>51</v>
      </c>
    </row>
    <row r="186" spans="1:18" x14ac:dyDescent="0.2">
      <c r="A186" s="13" t="s">
        <v>753</v>
      </c>
      <c r="B186" s="13" t="s">
        <v>480</v>
      </c>
      <c r="C186" s="68" t="s">
        <v>675</v>
      </c>
      <c r="D186" s="14">
        <v>45943</v>
      </c>
      <c r="E186" s="86" t="s">
        <v>389</v>
      </c>
      <c r="F186" s="13" t="s">
        <v>759</v>
      </c>
      <c r="G186" s="68">
        <v>70000</v>
      </c>
      <c r="H186" s="58">
        <v>7</v>
      </c>
      <c r="I186" s="14">
        <v>45948</v>
      </c>
      <c r="J186" s="55">
        <f t="shared" si="11"/>
        <v>5</v>
      </c>
      <c r="K186" s="89">
        <v>5</v>
      </c>
      <c r="L186" s="89" t="s">
        <v>732</v>
      </c>
      <c r="M186" s="56" t="str">
        <f t="shared" si="10"/>
        <v>100</v>
      </c>
      <c r="N186" s="104" t="str" cm="1">
        <f t="array" ref="N186">_xlfn.IFS(J186&gt;=H186,"0",J186&lt;H186,"100")</f>
        <v>100</v>
      </c>
      <c r="O186" s="13" t="s">
        <v>954</v>
      </c>
      <c r="P186" s="14">
        <f t="shared" si="12"/>
        <v>45978</v>
      </c>
      <c r="Q186" s="62">
        <f t="shared" si="13"/>
        <v>30</v>
      </c>
      <c r="R186" s="13" t="s">
        <v>51</v>
      </c>
    </row>
    <row r="187" spans="1:18" x14ac:dyDescent="0.2">
      <c r="A187" s="13" t="s">
        <v>753</v>
      </c>
      <c r="B187" s="13" t="s">
        <v>480</v>
      </c>
      <c r="C187" s="68" t="s">
        <v>676</v>
      </c>
      <c r="D187" s="14">
        <v>45944</v>
      </c>
      <c r="E187" s="86" t="s">
        <v>389</v>
      </c>
      <c r="F187" s="13" t="s">
        <v>759</v>
      </c>
      <c r="G187" s="68">
        <v>70000</v>
      </c>
      <c r="H187" s="58">
        <v>7</v>
      </c>
      <c r="I187" s="14">
        <v>45949</v>
      </c>
      <c r="J187" s="55">
        <f t="shared" si="11"/>
        <v>5</v>
      </c>
      <c r="K187" s="89">
        <v>5</v>
      </c>
      <c r="L187" s="89" t="s">
        <v>732</v>
      </c>
      <c r="M187" s="56" t="str">
        <f t="shared" si="10"/>
        <v>100</v>
      </c>
      <c r="N187" s="104" t="str" cm="1">
        <f t="array" ref="N187">_xlfn.IFS(J187&gt;=H187,"0",J187&lt;H187,"100")</f>
        <v>100</v>
      </c>
      <c r="O187" s="13" t="s">
        <v>955</v>
      </c>
      <c r="P187" s="14">
        <f t="shared" si="12"/>
        <v>45979</v>
      </c>
      <c r="Q187" s="62">
        <f t="shared" si="13"/>
        <v>30</v>
      </c>
      <c r="R187" s="13" t="s">
        <v>51</v>
      </c>
    </row>
    <row r="188" spans="1:18" x14ac:dyDescent="0.2">
      <c r="A188" s="13" t="s">
        <v>753</v>
      </c>
      <c r="B188" s="13" t="s">
        <v>480</v>
      </c>
      <c r="C188" s="68" t="s">
        <v>677</v>
      </c>
      <c r="D188" s="14">
        <v>45945</v>
      </c>
      <c r="E188" s="86" t="s">
        <v>389</v>
      </c>
      <c r="F188" s="13" t="s">
        <v>760</v>
      </c>
      <c r="G188" s="68">
        <v>70000</v>
      </c>
      <c r="H188" s="58">
        <v>7</v>
      </c>
      <c r="I188" s="14">
        <v>45950</v>
      </c>
      <c r="J188" s="55">
        <f t="shared" si="11"/>
        <v>5</v>
      </c>
      <c r="K188" s="89">
        <v>5</v>
      </c>
      <c r="L188" s="89" t="s">
        <v>732</v>
      </c>
      <c r="M188" s="56" t="str">
        <f t="shared" si="10"/>
        <v>100</v>
      </c>
      <c r="N188" s="104" t="str" cm="1">
        <f t="array" ref="N188">_xlfn.IFS(J188&gt;=H188,"0",J188&lt;H188,"100")</f>
        <v>100</v>
      </c>
      <c r="O188" s="13" t="s">
        <v>956</v>
      </c>
      <c r="P188" s="14">
        <f t="shared" si="12"/>
        <v>45980</v>
      </c>
      <c r="Q188" s="62">
        <f t="shared" si="13"/>
        <v>30</v>
      </c>
      <c r="R188" s="13" t="s">
        <v>51</v>
      </c>
    </row>
    <row r="189" spans="1:18" x14ac:dyDescent="0.2">
      <c r="A189" s="13" t="s">
        <v>753</v>
      </c>
      <c r="B189" s="13" t="s">
        <v>480</v>
      </c>
      <c r="C189" s="68" t="s">
        <v>678</v>
      </c>
      <c r="D189" s="14">
        <v>45946</v>
      </c>
      <c r="E189" s="86" t="s">
        <v>389</v>
      </c>
      <c r="F189" s="13" t="s">
        <v>760</v>
      </c>
      <c r="G189" s="68">
        <v>70000</v>
      </c>
      <c r="H189" s="58">
        <v>7</v>
      </c>
      <c r="I189" s="14">
        <v>45951</v>
      </c>
      <c r="J189" s="55">
        <f t="shared" si="11"/>
        <v>5</v>
      </c>
      <c r="K189" s="89">
        <v>5</v>
      </c>
      <c r="L189" s="89" t="s">
        <v>732</v>
      </c>
      <c r="M189" s="56" t="str">
        <f t="shared" si="10"/>
        <v>100</v>
      </c>
      <c r="N189" s="104" t="str" cm="1">
        <f t="array" ref="N189">_xlfn.IFS(J189&gt;=H189,"0",J189&lt;H189,"100")</f>
        <v>100</v>
      </c>
      <c r="O189" s="13" t="s">
        <v>957</v>
      </c>
      <c r="P189" s="14">
        <f t="shared" si="12"/>
        <v>45981</v>
      </c>
      <c r="Q189" s="62">
        <f t="shared" si="13"/>
        <v>30</v>
      </c>
      <c r="R189" s="13" t="s">
        <v>51</v>
      </c>
    </row>
    <row r="190" spans="1:18" x14ac:dyDescent="0.2">
      <c r="A190" s="13" t="s">
        <v>753</v>
      </c>
      <c r="B190" s="13" t="s">
        <v>480</v>
      </c>
      <c r="C190" s="68" t="s">
        <v>679</v>
      </c>
      <c r="D190" s="14">
        <v>45947</v>
      </c>
      <c r="E190" s="86" t="s">
        <v>389</v>
      </c>
      <c r="F190" s="13" t="s">
        <v>760</v>
      </c>
      <c r="G190" s="68">
        <v>70000</v>
      </c>
      <c r="H190" s="58">
        <v>7</v>
      </c>
      <c r="I190" s="14">
        <v>45952</v>
      </c>
      <c r="J190" s="55">
        <f t="shared" si="11"/>
        <v>5</v>
      </c>
      <c r="K190" s="89">
        <v>5</v>
      </c>
      <c r="L190" s="89" t="s">
        <v>732</v>
      </c>
      <c r="M190" s="56" t="str">
        <f t="shared" si="10"/>
        <v>100</v>
      </c>
      <c r="N190" s="104" t="str" cm="1">
        <f t="array" ref="N190">_xlfn.IFS(J190&gt;=H190,"0",J190&lt;H190,"100")</f>
        <v>100</v>
      </c>
      <c r="O190" s="13" t="s">
        <v>958</v>
      </c>
      <c r="P190" s="14">
        <f t="shared" si="12"/>
        <v>45982</v>
      </c>
      <c r="Q190" s="62">
        <f t="shared" si="13"/>
        <v>30</v>
      </c>
      <c r="R190" s="13" t="s">
        <v>51</v>
      </c>
    </row>
    <row r="191" spans="1:18" x14ac:dyDescent="0.2">
      <c r="A191" s="13" t="s">
        <v>753</v>
      </c>
      <c r="B191" s="13" t="s">
        <v>480</v>
      </c>
      <c r="C191" s="68" t="s">
        <v>680</v>
      </c>
      <c r="D191" s="14">
        <v>45948</v>
      </c>
      <c r="E191" s="86" t="s">
        <v>389</v>
      </c>
      <c r="F191" s="13" t="s">
        <v>760</v>
      </c>
      <c r="G191" s="68">
        <v>70000</v>
      </c>
      <c r="H191" s="58">
        <v>7</v>
      </c>
      <c r="I191" s="14">
        <v>45953</v>
      </c>
      <c r="J191" s="55">
        <f t="shared" si="11"/>
        <v>5</v>
      </c>
      <c r="K191" s="89">
        <v>5</v>
      </c>
      <c r="L191" s="89" t="s">
        <v>732</v>
      </c>
      <c r="M191" s="56" t="str">
        <f t="shared" si="10"/>
        <v>100</v>
      </c>
      <c r="N191" s="104" t="str" cm="1">
        <f t="array" ref="N191">_xlfn.IFS(J191&gt;=H191,"0",J191&lt;H191,"100")</f>
        <v>100</v>
      </c>
      <c r="O191" s="13" t="s">
        <v>959</v>
      </c>
      <c r="P191" s="14">
        <f t="shared" si="12"/>
        <v>45983</v>
      </c>
      <c r="Q191" s="62">
        <f t="shared" si="13"/>
        <v>30</v>
      </c>
      <c r="R191" s="13" t="s">
        <v>51</v>
      </c>
    </row>
    <row r="192" spans="1:18" x14ac:dyDescent="0.2">
      <c r="A192" s="13" t="s">
        <v>753</v>
      </c>
      <c r="B192" s="13" t="s">
        <v>480</v>
      </c>
      <c r="C192" s="68" t="s">
        <v>681</v>
      </c>
      <c r="D192" s="14">
        <v>45949</v>
      </c>
      <c r="E192" s="86" t="s">
        <v>389</v>
      </c>
      <c r="F192" s="13" t="s">
        <v>760</v>
      </c>
      <c r="G192" s="68">
        <v>70000</v>
      </c>
      <c r="H192" s="58">
        <v>7</v>
      </c>
      <c r="I192" s="14">
        <v>45954</v>
      </c>
      <c r="J192" s="55">
        <f t="shared" si="11"/>
        <v>5</v>
      </c>
      <c r="K192" s="89">
        <v>5</v>
      </c>
      <c r="L192" s="89" t="s">
        <v>732</v>
      </c>
      <c r="M192" s="56" t="str">
        <f t="shared" si="10"/>
        <v>100</v>
      </c>
      <c r="N192" s="104" t="str" cm="1">
        <f t="array" ref="N192">_xlfn.IFS(J192&gt;=H192,"0",J192&lt;H192,"100")</f>
        <v>100</v>
      </c>
      <c r="O192" s="13" t="s">
        <v>960</v>
      </c>
      <c r="P192" s="14">
        <f t="shared" si="12"/>
        <v>45984</v>
      </c>
      <c r="Q192" s="62">
        <f t="shared" si="13"/>
        <v>30</v>
      </c>
      <c r="R192" s="13" t="s">
        <v>51</v>
      </c>
    </row>
    <row r="193" spans="1:18" x14ac:dyDescent="0.2">
      <c r="A193" s="13" t="s">
        <v>753</v>
      </c>
      <c r="B193" s="13" t="s">
        <v>480</v>
      </c>
      <c r="C193" s="68" t="s">
        <v>682</v>
      </c>
      <c r="D193" s="14">
        <v>45950</v>
      </c>
      <c r="E193" s="86" t="s">
        <v>389</v>
      </c>
      <c r="F193" s="13" t="s">
        <v>760</v>
      </c>
      <c r="G193" s="68">
        <v>70000</v>
      </c>
      <c r="H193" s="58">
        <v>7</v>
      </c>
      <c r="I193" s="14">
        <v>45955</v>
      </c>
      <c r="J193" s="55">
        <f t="shared" si="11"/>
        <v>5</v>
      </c>
      <c r="K193" s="89">
        <v>5</v>
      </c>
      <c r="L193" s="89" t="s">
        <v>732</v>
      </c>
      <c r="M193" s="56" t="str">
        <f t="shared" si="10"/>
        <v>100</v>
      </c>
      <c r="N193" s="104" t="str" cm="1">
        <f t="array" ref="N193">_xlfn.IFS(J193&gt;=H193,"0",J193&lt;H193,"100")</f>
        <v>100</v>
      </c>
      <c r="O193" s="13" t="s">
        <v>961</v>
      </c>
      <c r="P193" s="14">
        <f t="shared" si="12"/>
        <v>45985</v>
      </c>
      <c r="Q193" s="62">
        <f t="shared" si="13"/>
        <v>30</v>
      </c>
      <c r="R193" s="13" t="s">
        <v>51</v>
      </c>
    </row>
    <row r="194" spans="1:18" x14ac:dyDescent="0.2">
      <c r="A194" s="13" t="s">
        <v>753</v>
      </c>
      <c r="B194" s="13" t="s">
        <v>480</v>
      </c>
      <c r="C194" s="68" t="s">
        <v>683</v>
      </c>
      <c r="D194" s="14">
        <v>45951</v>
      </c>
      <c r="E194" s="86" t="s">
        <v>389</v>
      </c>
      <c r="F194" s="13" t="s">
        <v>760</v>
      </c>
      <c r="G194" s="68">
        <v>70000</v>
      </c>
      <c r="H194" s="58">
        <v>7</v>
      </c>
      <c r="I194" s="14">
        <v>45955</v>
      </c>
      <c r="J194" s="55">
        <f t="shared" si="11"/>
        <v>4</v>
      </c>
      <c r="K194" s="89">
        <v>4</v>
      </c>
      <c r="L194" s="89" t="s">
        <v>732</v>
      </c>
      <c r="M194" s="56" t="str">
        <f t="shared" ref="M194:M234" si="14">IF(ISBLANK(I194),"",IF(H194&lt;K194,(-(H194-K194)/H194)*100,"100"))</f>
        <v>100</v>
      </c>
      <c r="N194" s="104" t="str" cm="1">
        <f t="array" ref="N194">_xlfn.IFS(J194&gt;=H194,"0",J194&lt;H194,"100")</f>
        <v>100</v>
      </c>
      <c r="O194" s="13" t="s">
        <v>962</v>
      </c>
      <c r="P194" s="14">
        <f t="shared" si="12"/>
        <v>45985</v>
      </c>
      <c r="Q194" s="62">
        <f t="shared" si="13"/>
        <v>30</v>
      </c>
      <c r="R194" s="13" t="s">
        <v>51</v>
      </c>
    </row>
    <row r="195" spans="1:18" x14ac:dyDescent="0.2">
      <c r="A195" s="13" t="s">
        <v>753</v>
      </c>
      <c r="B195" s="13" t="s">
        <v>480</v>
      </c>
      <c r="C195" s="68" t="s">
        <v>684</v>
      </c>
      <c r="D195" s="14">
        <v>45952</v>
      </c>
      <c r="E195" s="86" t="s">
        <v>389</v>
      </c>
      <c r="F195" s="13" t="s">
        <v>760</v>
      </c>
      <c r="G195" s="68">
        <v>70000</v>
      </c>
      <c r="H195" s="58">
        <v>7</v>
      </c>
      <c r="I195" s="14">
        <v>45956</v>
      </c>
      <c r="J195" s="55">
        <f t="shared" ref="J195:J234" si="15">IF(ISBLANK(I195),"",I195-D195)</f>
        <v>4</v>
      </c>
      <c r="K195" s="89">
        <v>4</v>
      </c>
      <c r="L195" s="89" t="s">
        <v>732</v>
      </c>
      <c r="M195" s="56" t="str">
        <f t="shared" si="14"/>
        <v>100</v>
      </c>
      <c r="N195" s="104" t="str" cm="1">
        <f t="array" ref="N195">_xlfn.IFS(J195&gt;=H195,"0",J195&lt;H195,"100")</f>
        <v>100</v>
      </c>
      <c r="O195" s="13" t="s">
        <v>963</v>
      </c>
      <c r="P195" s="14">
        <f t="shared" ref="P195:P234" si="16">I195+30</f>
        <v>45986</v>
      </c>
      <c r="Q195" s="62">
        <f t="shared" ref="Q195:Q234" si="17">P195-I195</f>
        <v>30</v>
      </c>
      <c r="R195" s="13" t="s">
        <v>51</v>
      </c>
    </row>
    <row r="196" spans="1:18" x14ac:dyDescent="0.2">
      <c r="A196" s="13" t="s">
        <v>753</v>
      </c>
      <c r="B196" s="13" t="s">
        <v>480</v>
      </c>
      <c r="C196" s="68" t="s">
        <v>685</v>
      </c>
      <c r="D196" s="14">
        <v>45953</v>
      </c>
      <c r="E196" s="86" t="s">
        <v>389</v>
      </c>
      <c r="F196" s="13" t="s">
        <v>760</v>
      </c>
      <c r="G196" s="68">
        <v>70000</v>
      </c>
      <c r="H196" s="58">
        <v>7</v>
      </c>
      <c r="I196" s="14">
        <v>45957</v>
      </c>
      <c r="J196" s="55">
        <f t="shared" si="15"/>
        <v>4</v>
      </c>
      <c r="K196" s="89">
        <v>4</v>
      </c>
      <c r="L196" s="89" t="s">
        <v>732</v>
      </c>
      <c r="M196" s="56" t="str">
        <f t="shared" si="14"/>
        <v>100</v>
      </c>
      <c r="N196" s="104" t="str" cm="1">
        <f t="array" ref="N196">_xlfn.IFS(J196&gt;=H196,"0",J196&lt;H196,"100")</f>
        <v>100</v>
      </c>
      <c r="O196" s="13" t="s">
        <v>964</v>
      </c>
      <c r="P196" s="14">
        <f t="shared" si="16"/>
        <v>45987</v>
      </c>
      <c r="Q196" s="62">
        <f t="shared" si="17"/>
        <v>30</v>
      </c>
      <c r="R196" s="13" t="s">
        <v>51</v>
      </c>
    </row>
    <row r="197" spans="1:18" x14ac:dyDescent="0.2">
      <c r="A197" s="13" t="s">
        <v>753</v>
      </c>
      <c r="B197" s="13" t="s">
        <v>480</v>
      </c>
      <c r="C197" s="68" t="s">
        <v>686</v>
      </c>
      <c r="D197" s="14">
        <v>45954</v>
      </c>
      <c r="E197" s="86" t="s">
        <v>389</v>
      </c>
      <c r="F197" s="13" t="s">
        <v>760</v>
      </c>
      <c r="G197" s="68">
        <v>70000</v>
      </c>
      <c r="H197" s="58">
        <v>7</v>
      </c>
      <c r="I197" s="14">
        <v>45958</v>
      </c>
      <c r="J197" s="55">
        <f t="shared" si="15"/>
        <v>4</v>
      </c>
      <c r="K197" s="89">
        <v>4</v>
      </c>
      <c r="L197" s="89" t="s">
        <v>732</v>
      </c>
      <c r="M197" s="56" t="str">
        <f t="shared" si="14"/>
        <v>100</v>
      </c>
      <c r="N197" s="104" t="str" cm="1">
        <f t="array" ref="N197">_xlfn.IFS(J197&gt;=H197,"0",J197&lt;H197,"100")</f>
        <v>100</v>
      </c>
      <c r="O197" s="13" t="s">
        <v>965</v>
      </c>
      <c r="P197" s="14">
        <f t="shared" si="16"/>
        <v>45988</v>
      </c>
      <c r="Q197" s="62">
        <f t="shared" si="17"/>
        <v>30</v>
      </c>
      <c r="R197" s="13" t="s">
        <v>51</v>
      </c>
    </row>
    <row r="198" spans="1:18" x14ac:dyDescent="0.2">
      <c r="A198" s="13" t="s">
        <v>753</v>
      </c>
      <c r="B198" s="13" t="s">
        <v>480</v>
      </c>
      <c r="C198" s="68" t="s">
        <v>687</v>
      </c>
      <c r="D198" s="14">
        <v>45955</v>
      </c>
      <c r="E198" s="86" t="s">
        <v>389</v>
      </c>
      <c r="F198" s="13" t="s">
        <v>760</v>
      </c>
      <c r="G198" s="68">
        <v>70000</v>
      </c>
      <c r="H198" s="58">
        <v>7</v>
      </c>
      <c r="I198" s="14">
        <v>45959</v>
      </c>
      <c r="J198" s="55">
        <f t="shared" si="15"/>
        <v>4</v>
      </c>
      <c r="K198" s="89">
        <v>4</v>
      </c>
      <c r="L198" s="89" t="s">
        <v>732</v>
      </c>
      <c r="M198" s="56" t="str">
        <f t="shared" si="14"/>
        <v>100</v>
      </c>
      <c r="N198" s="104" t="str" cm="1">
        <f t="array" ref="N198">_xlfn.IFS(J198&gt;=H198,"0",J198&lt;H198,"100")</f>
        <v>100</v>
      </c>
      <c r="O198" s="13" t="s">
        <v>966</v>
      </c>
      <c r="P198" s="14">
        <f t="shared" si="16"/>
        <v>45989</v>
      </c>
      <c r="Q198" s="62">
        <f t="shared" si="17"/>
        <v>30</v>
      </c>
      <c r="R198" s="13" t="s">
        <v>51</v>
      </c>
    </row>
    <row r="199" spans="1:18" x14ac:dyDescent="0.2">
      <c r="A199" s="13" t="s">
        <v>753</v>
      </c>
      <c r="B199" s="13" t="s">
        <v>480</v>
      </c>
      <c r="C199" s="68" t="s">
        <v>688</v>
      </c>
      <c r="D199" s="14">
        <v>45956</v>
      </c>
      <c r="E199" s="86" t="s">
        <v>389</v>
      </c>
      <c r="F199" s="13" t="s">
        <v>760</v>
      </c>
      <c r="G199" s="68">
        <v>70000</v>
      </c>
      <c r="H199" s="58">
        <v>7</v>
      </c>
      <c r="I199" s="14">
        <v>45960</v>
      </c>
      <c r="J199" s="55">
        <f t="shared" si="15"/>
        <v>4</v>
      </c>
      <c r="K199" s="89">
        <v>4</v>
      </c>
      <c r="L199" s="89" t="s">
        <v>732</v>
      </c>
      <c r="M199" s="56" t="str">
        <f t="shared" si="14"/>
        <v>100</v>
      </c>
      <c r="N199" s="104" t="str" cm="1">
        <f t="array" ref="N199">_xlfn.IFS(J199&gt;=H199,"0",J199&lt;H199,"100")</f>
        <v>100</v>
      </c>
      <c r="O199" s="13" t="s">
        <v>967</v>
      </c>
      <c r="P199" s="14">
        <f t="shared" si="16"/>
        <v>45990</v>
      </c>
      <c r="Q199" s="62">
        <f t="shared" si="17"/>
        <v>30</v>
      </c>
      <c r="R199" s="13" t="s">
        <v>51</v>
      </c>
    </row>
    <row r="200" spans="1:18" x14ac:dyDescent="0.2">
      <c r="A200" s="13" t="s">
        <v>753</v>
      </c>
      <c r="B200" s="13" t="s">
        <v>480</v>
      </c>
      <c r="C200" s="68" t="s">
        <v>689</v>
      </c>
      <c r="D200" s="14">
        <v>45957</v>
      </c>
      <c r="E200" s="86" t="s">
        <v>389</v>
      </c>
      <c r="F200" s="13" t="s">
        <v>760</v>
      </c>
      <c r="G200" s="68">
        <v>70000</v>
      </c>
      <c r="H200" s="58">
        <v>7</v>
      </c>
      <c r="I200" s="14">
        <v>45961</v>
      </c>
      <c r="J200" s="55">
        <f t="shared" si="15"/>
        <v>4</v>
      </c>
      <c r="K200" s="89">
        <v>4</v>
      </c>
      <c r="L200" s="89" t="s">
        <v>732</v>
      </c>
      <c r="M200" s="56" t="str">
        <f t="shared" si="14"/>
        <v>100</v>
      </c>
      <c r="N200" s="104" t="str" cm="1">
        <f t="array" ref="N200">_xlfn.IFS(J200&gt;=H200,"0",J200&lt;H200,"100")</f>
        <v>100</v>
      </c>
      <c r="O200" s="13" t="s">
        <v>968</v>
      </c>
      <c r="P200" s="14">
        <f t="shared" si="16"/>
        <v>45991</v>
      </c>
      <c r="Q200" s="62">
        <f t="shared" si="17"/>
        <v>30</v>
      </c>
      <c r="R200" s="13" t="s">
        <v>51</v>
      </c>
    </row>
    <row r="201" spans="1:18" x14ac:dyDescent="0.2">
      <c r="A201" s="13" t="s">
        <v>753</v>
      </c>
      <c r="B201" s="13" t="s">
        <v>480</v>
      </c>
      <c r="C201" s="68" t="s">
        <v>690</v>
      </c>
      <c r="D201" s="14">
        <v>45958</v>
      </c>
      <c r="E201" s="86" t="s">
        <v>389</v>
      </c>
      <c r="F201" s="13" t="s">
        <v>760</v>
      </c>
      <c r="G201" s="68">
        <v>70000</v>
      </c>
      <c r="H201" s="58">
        <v>7</v>
      </c>
      <c r="I201" s="14">
        <v>45962</v>
      </c>
      <c r="J201" s="55">
        <f t="shared" si="15"/>
        <v>4</v>
      </c>
      <c r="K201" s="89">
        <v>4</v>
      </c>
      <c r="L201" s="89" t="s">
        <v>732</v>
      </c>
      <c r="M201" s="56" t="str">
        <f t="shared" si="14"/>
        <v>100</v>
      </c>
      <c r="N201" s="104" t="str" cm="1">
        <f t="array" ref="N201">_xlfn.IFS(J201&gt;=H201,"0",J201&lt;H201,"100")</f>
        <v>100</v>
      </c>
      <c r="O201" s="13" t="s">
        <v>969</v>
      </c>
      <c r="P201" s="14">
        <f t="shared" si="16"/>
        <v>45992</v>
      </c>
      <c r="Q201" s="62">
        <f t="shared" si="17"/>
        <v>30</v>
      </c>
      <c r="R201" s="13" t="s">
        <v>51</v>
      </c>
    </row>
    <row r="202" spans="1:18" x14ac:dyDescent="0.2">
      <c r="A202" s="13" t="s">
        <v>753</v>
      </c>
      <c r="B202" s="13" t="s">
        <v>480</v>
      </c>
      <c r="C202" s="68" t="s">
        <v>691</v>
      </c>
      <c r="D202" s="14">
        <v>45959</v>
      </c>
      <c r="E202" s="86" t="s">
        <v>389</v>
      </c>
      <c r="F202" s="13" t="s">
        <v>760</v>
      </c>
      <c r="G202" s="68">
        <v>70000</v>
      </c>
      <c r="H202" s="58">
        <v>7</v>
      </c>
      <c r="I202" s="14">
        <v>45963</v>
      </c>
      <c r="J202" s="55">
        <f t="shared" si="15"/>
        <v>4</v>
      </c>
      <c r="K202" s="89">
        <v>4</v>
      </c>
      <c r="L202" s="89" t="s">
        <v>732</v>
      </c>
      <c r="M202" s="56" t="str">
        <f t="shared" si="14"/>
        <v>100</v>
      </c>
      <c r="N202" s="104" t="str" cm="1">
        <f t="array" ref="N202">_xlfn.IFS(J202&gt;=H202,"0",J202&lt;H202,"100")</f>
        <v>100</v>
      </c>
      <c r="O202" s="13" t="s">
        <v>970</v>
      </c>
      <c r="P202" s="14">
        <f t="shared" si="16"/>
        <v>45993</v>
      </c>
      <c r="Q202" s="62">
        <f t="shared" si="17"/>
        <v>30</v>
      </c>
      <c r="R202" s="13" t="s">
        <v>51</v>
      </c>
    </row>
    <row r="203" spans="1:18" x14ac:dyDescent="0.2">
      <c r="A203" s="13" t="s">
        <v>753</v>
      </c>
      <c r="B203" s="13" t="s">
        <v>480</v>
      </c>
      <c r="C203" s="68" t="s">
        <v>692</v>
      </c>
      <c r="D203" s="14">
        <v>45960</v>
      </c>
      <c r="E203" s="86" t="s">
        <v>389</v>
      </c>
      <c r="F203" s="13" t="s">
        <v>760</v>
      </c>
      <c r="G203" s="68">
        <v>70000</v>
      </c>
      <c r="H203" s="58">
        <v>7</v>
      </c>
      <c r="I203" s="14">
        <v>45964</v>
      </c>
      <c r="J203" s="55">
        <f t="shared" si="15"/>
        <v>4</v>
      </c>
      <c r="K203" s="89">
        <v>4</v>
      </c>
      <c r="L203" s="89" t="s">
        <v>732</v>
      </c>
      <c r="M203" s="56" t="str">
        <f t="shared" si="14"/>
        <v>100</v>
      </c>
      <c r="N203" s="104" t="str" cm="1">
        <f t="array" ref="N203">_xlfn.IFS(J203&gt;=H203,"0",J203&lt;H203,"100")</f>
        <v>100</v>
      </c>
      <c r="O203" s="13" t="s">
        <v>971</v>
      </c>
      <c r="P203" s="14">
        <f t="shared" si="16"/>
        <v>45994</v>
      </c>
      <c r="Q203" s="62">
        <f t="shared" si="17"/>
        <v>30</v>
      </c>
      <c r="R203" s="13" t="s">
        <v>51</v>
      </c>
    </row>
    <row r="204" spans="1:18" x14ac:dyDescent="0.2">
      <c r="A204" s="13" t="s">
        <v>753</v>
      </c>
      <c r="B204" s="13" t="s">
        <v>480</v>
      </c>
      <c r="C204" s="68" t="s">
        <v>693</v>
      </c>
      <c r="D204" s="14">
        <v>45961</v>
      </c>
      <c r="E204" s="86" t="s">
        <v>389</v>
      </c>
      <c r="F204" s="13" t="s">
        <v>760</v>
      </c>
      <c r="G204" s="68">
        <v>70000</v>
      </c>
      <c r="H204" s="58">
        <v>7</v>
      </c>
      <c r="I204" s="14">
        <v>45965</v>
      </c>
      <c r="J204" s="55">
        <f t="shared" si="15"/>
        <v>4</v>
      </c>
      <c r="K204" s="89">
        <v>4</v>
      </c>
      <c r="L204" s="89" t="s">
        <v>732</v>
      </c>
      <c r="M204" s="56" t="str">
        <f t="shared" si="14"/>
        <v>100</v>
      </c>
      <c r="N204" s="104" t="str" cm="1">
        <f t="array" ref="N204">_xlfn.IFS(J204&gt;=H204,"0",J204&lt;H204,"100")</f>
        <v>100</v>
      </c>
      <c r="O204" s="13" t="s">
        <v>972</v>
      </c>
      <c r="P204" s="14">
        <f t="shared" si="16"/>
        <v>45995</v>
      </c>
      <c r="Q204" s="62">
        <f t="shared" si="17"/>
        <v>30</v>
      </c>
      <c r="R204" s="13" t="s">
        <v>51</v>
      </c>
    </row>
    <row r="205" spans="1:18" x14ac:dyDescent="0.2">
      <c r="A205" s="13" t="s">
        <v>753</v>
      </c>
      <c r="B205" s="13" t="s">
        <v>480</v>
      </c>
      <c r="C205" s="68" t="s">
        <v>694</v>
      </c>
      <c r="D205" s="14">
        <v>45933</v>
      </c>
      <c r="E205" s="86" t="s">
        <v>389</v>
      </c>
      <c r="F205" s="13" t="s">
        <v>760</v>
      </c>
      <c r="G205" s="68">
        <v>70000</v>
      </c>
      <c r="H205" s="58">
        <v>7</v>
      </c>
      <c r="I205" s="14">
        <v>45935</v>
      </c>
      <c r="J205" s="55">
        <f t="shared" si="15"/>
        <v>2</v>
      </c>
      <c r="K205" s="89">
        <v>2</v>
      </c>
      <c r="L205" s="89" t="s">
        <v>732</v>
      </c>
      <c r="M205" s="56" t="str">
        <f t="shared" si="14"/>
        <v>100</v>
      </c>
      <c r="N205" s="104" t="str" cm="1">
        <f t="array" ref="N205">_xlfn.IFS(J205&gt;=H205,"0",J205&lt;H205,"100")</f>
        <v>100</v>
      </c>
      <c r="O205" s="13" t="s">
        <v>973</v>
      </c>
      <c r="P205" s="14">
        <f t="shared" si="16"/>
        <v>45965</v>
      </c>
      <c r="Q205" s="62">
        <f t="shared" si="17"/>
        <v>30</v>
      </c>
      <c r="R205" s="13" t="s">
        <v>51</v>
      </c>
    </row>
    <row r="206" spans="1:18" x14ac:dyDescent="0.2">
      <c r="A206" s="13" t="s">
        <v>753</v>
      </c>
      <c r="B206" s="13" t="s">
        <v>480</v>
      </c>
      <c r="C206" s="68" t="s">
        <v>695</v>
      </c>
      <c r="D206" s="14">
        <v>45934</v>
      </c>
      <c r="E206" s="86" t="s">
        <v>389</v>
      </c>
      <c r="F206" s="13" t="s">
        <v>760</v>
      </c>
      <c r="G206" s="68">
        <v>70000</v>
      </c>
      <c r="H206" s="58">
        <v>7</v>
      </c>
      <c r="I206" s="14">
        <v>45936</v>
      </c>
      <c r="J206" s="55">
        <f t="shared" si="15"/>
        <v>2</v>
      </c>
      <c r="K206" s="89">
        <v>2</v>
      </c>
      <c r="L206" s="89" t="s">
        <v>732</v>
      </c>
      <c r="M206" s="56" t="str">
        <f t="shared" si="14"/>
        <v>100</v>
      </c>
      <c r="N206" s="104" t="str" cm="1">
        <f t="array" ref="N206">_xlfn.IFS(J206&gt;=H206,"0",J206&lt;H206,"100")</f>
        <v>100</v>
      </c>
      <c r="O206" s="13" t="s">
        <v>974</v>
      </c>
      <c r="P206" s="14">
        <f t="shared" si="16"/>
        <v>45966</v>
      </c>
      <c r="Q206" s="62">
        <f t="shared" si="17"/>
        <v>30</v>
      </c>
      <c r="R206" s="13" t="s">
        <v>51</v>
      </c>
    </row>
    <row r="207" spans="1:18" x14ac:dyDescent="0.2">
      <c r="A207" s="13" t="s">
        <v>753</v>
      </c>
      <c r="B207" s="13" t="s">
        <v>480</v>
      </c>
      <c r="C207" s="68" t="s">
        <v>696</v>
      </c>
      <c r="D207" s="14">
        <v>45935</v>
      </c>
      <c r="E207" s="86" t="s">
        <v>389</v>
      </c>
      <c r="F207" s="13" t="s">
        <v>760</v>
      </c>
      <c r="G207" s="68">
        <v>70000</v>
      </c>
      <c r="H207" s="58">
        <v>7</v>
      </c>
      <c r="I207" s="14">
        <v>45937</v>
      </c>
      <c r="J207" s="55">
        <f t="shared" si="15"/>
        <v>2</v>
      </c>
      <c r="K207" s="89">
        <v>2</v>
      </c>
      <c r="L207" s="89" t="s">
        <v>732</v>
      </c>
      <c r="M207" s="56" t="str">
        <f t="shared" si="14"/>
        <v>100</v>
      </c>
      <c r="N207" s="104" t="str" cm="1">
        <f t="array" ref="N207">_xlfn.IFS(J207&gt;=H207,"0",J207&lt;H207,"100")</f>
        <v>100</v>
      </c>
      <c r="O207" s="13" t="s">
        <v>975</v>
      </c>
      <c r="P207" s="14">
        <f t="shared" si="16"/>
        <v>45967</v>
      </c>
      <c r="Q207" s="62">
        <f t="shared" si="17"/>
        <v>30</v>
      </c>
      <c r="R207" s="13" t="s">
        <v>51</v>
      </c>
    </row>
    <row r="208" spans="1:18" x14ac:dyDescent="0.2">
      <c r="A208" s="13" t="s">
        <v>753</v>
      </c>
      <c r="B208" s="13" t="s">
        <v>480</v>
      </c>
      <c r="C208" s="68" t="s">
        <v>697</v>
      </c>
      <c r="D208" s="14">
        <v>45936</v>
      </c>
      <c r="E208" s="86" t="s">
        <v>389</v>
      </c>
      <c r="F208" s="13" t="s">
        <v>760</v>
      </c>
      <c r="G208" s="68">
        <v>70000</v>
      </c>
      <c r="H208" s="58">
        <v>7</v>
      </c>
      <c r="I208" s="14">
        <v>45938</v>
      </c>
      <c r="J208" s="55">
        <f t="shared" si="15"/>
        <v>2</v>
      </c>
      <c r="K208" s="89">
        <v>2</v>
      </c>
      <c r="L208" s="89" t="s">
        <v>732</v>
      </c>
      <c r="M208" s="56" t="str">
        <f t="shared" si="14"/>
        <v>100</v>
      </c>
      <c r="N208" s="104" t="str" cm="1">
        <f t="array" ref="N208">_xlfn.IFS(J208&gt;=H208,"0",J208&lt;H208,"100")</f>
        <v>100</v>
      </c>
      <c r="O208" s="13" t="s">
        <v>976</v>
      </c>
      <c r="P208" s="14">
        <f t="shared" si="16"/>
        <v>45968</v>
      </c>
      <c r="Q208" s="62">
        <f t="shared" si="17"/>
        <v>30</v>
      </c>
      <c r="R208" s="13" t="s">
        <v>51</v>
      </c>
    </row>
    <row r="209" spans="1:18" x14ac:dyDescent="0.2">
      <c r="A209" s="13" t="s">
        <v>753</v>
      </c>
      <c r="B209" s="13" t="s">
        <v>480</v>
      </c>
      <c r="C209" s="68" t="s">
        <v>698</v>
      </c>
      <c r="D209" s="14">
        <v>45937</v>
      </c>
      <c r="E209" s="13" t="s">
        <v>764</v>
      </c>
      <c r="F209" s="13" t="s">
        <v>760</v>
      </c>
      <c r="G209" s="68">
        <v>70000</v>
      </c>
      <c r="H209" s="58">
        <v>7</v>
      </c>
      <c r="I209" s="14">
        <v>45939</v>
      </c>
      <c r="J209" s="55">
        <f t="shared" si="15"/>
        <v>2</v>
      </c>
      <c r="K209" s="89">
        <v>2</v>
      </c>
      <c r="L209" s="89" t="s">
        <v>732</v>
      </c>
      <c r="M209" s="56" t="str">
        <f t="shared" si="14"/>
        <v>100</v>
      </c>
      <c r="N209" s="104" t="str" cm="1">
        <f t="array" ref="N209">_xlfn.IFS(J209&gt;=H209,"0",J209&lt;H209,"100")</f>
        <v>100</v>
      </c>
      <c r="O209" s="13" t="s">
        <v>977</v>
      </c>
      <c r="P209" s="14">
        <f t="shared" si="16"/>
        <v>45969</v>
      </c>
      <c r="Q209" s="62">
        <f t="shared" si="17"/>
        <v>30</v>
      </c>
      <c r="R209" s="13" t="s">
        <v>51</v>
      </c>
    </row>
    <row r="210" spans="1:18" x14ac:dyDescent="0.2">
      <c r="A210" s="13" t="s">
        <v>753</v>
      </c>
      <c r="B210" s="13" t="s">
        <v>480</v>
      </c>
      <c r="C210" s="68" t="s">
        <v>699</v>
      </c>
      <c r="D210" s="14">
        <v>45938</v>
      </c>
      <c r="E210" s="13" t="s">
        <v>764</v>
      </c>
      <c r="F210" s="13" t="s">
        <v>760</v>
      </c>
      <c r="G210" s="68">
        <v>70000</v>
      </c>
      <c r="H210" s="58">
        <v>7</v>
      </c>
      <c r="I210" s="14">
        <v>45940</v>
      </c>
      <c r="J210" s="55">
        <f t="shared" si="15"/>
        <v>2</v>
      </c>
      <c r="K210" s="89">
        <v>2</v>
      </c>
      <c r="L210" s="89" t="s">
        <v>732</v>
      </c>
      <c r="M210" s="56" t="str">
        <f t="shared" si="14"/>
        <v>100</v>
      </c>
      <c r="N210" s="104" t="str" cm="1">
        <f t="array" ref="N210">_xlfn.IFS(J210&gt;=H210,"0",J210&lt;H210,"100")</f>
        <v>100</v>
      </c>
      <c r="O210" s="13" t="s">
        <v>978</v>
      </c>
      <c r="P210" s="14">
        <f t="shared" si="16"/>
        <v>45970</v>
      </c>
      <c r="Q210" s="62">
        <f t="shared" si="17"/>
        <v>30</v>
      </c>
      <c r="R210" s="13" t="s">
        <v>51</v>
      </c>
    </row>
    <row r="211" spans="1:18" x14ac:dyDescent="0.2">
      <c r="A211" s="13" t="s">
        <v>753</v>
      </c>
      <c r="B211" s="13" t="s">
        <v>480</v>
      </c>
      <c r="C211" s="68" t="s">
        <v>700</v>
      </c>
      <c r="D211" s="14">
        <v>45939</v>
      </c>
      <c r="E211" s="13" t="s">
        <v>764</v>
      </c>
      <c r="F211" s="13" t="s">
        <v>760</v>
      </c>
      <c r="G211" s="68">
        <v>70000</v>
      </c>
      <c r="H211" s="58">
        <v>7</v>
      </c>
      <c r="I211" s="14">
        <v>45941</v>
      </c>
      <c r="J211" s="55">
        <f t="shared" si="15"/>
        <v>2</v>
      </c>
      <c r="K211" s="89">
        <v>2</v>
      </c>
      <c r="L211" s="89" t="s">
        <v>732</v>
      </c>
      <c r="M211" s="56" t="str">
        <f t="shared" si="14"/>
        <v>100</v>
      </c>
      <c r="N211" s="104" t="str" cm="1">
        <f t="array" ref="N211">_xlfn.IFS(J211&gt;=H211,"0",J211&lt;H211,"100")</f>
        <v>100</v>
      </c>
      <c r="O211" s="13" t="s">
        <v>979</v>
      </c>
      <c r="P211" s="14">
        <f t="shared" si="16"/>
        <v>45971</v>
      </c>
      <c r="Q211" s="62">
        <f t="shared" si="17"/>
        <v>30</v>
      </c>
      <c r="R211" s="13" t="s">
        <v>51</v>
      </c>
    </row>
    <row r="212" spans="1:18" x14ac:dyDescent="0.2">
      <c r="A212" s="13" t="s">
        <v>753</v>
      </c>
      <c r="B212" s="13" t="s">
        <v>480</v>
      </c>
      <c r="C212" s="68" t="s">
        <v>701</v>
      </c>
      <c r="D212" s="14">
        <v>45940</v>
      </c>
      <c r="E212" s="13" t="s">
        <v>764</v>
      </c>
      <c r="F212" s="13" t="s">
        <v>760</v>
      </c>
      <c r="G212" s="68">
        <v>70000</v>
      </c>
      <c r="H212" s="58">
        <v>7</v>
      </c>
      <c r="I212" s="14">
        <v>45942</v>
      </c>
      <c r="J212" s="55">
        <f t="shared" si="15"/>
        <v>2</v>
      </c>
      <c r="K212" s="89">
        <v>2</v>
      </c>
      <c r="L212" s="89" t="s">
        <v>732</v>
      </c>
      <c r="M212" s="56" t="str">
        <f t="shared" si="14"/>
        <v>100</v>
      </c>
      <c r="N212" s="104" t="str" cm="1">
        <f t="array" ref="N212">_xlfn.IFS(J212&gt;=H212,"0",J212&lt;H212,"100")</f>
        <v>100</v>
      </c>
      <c r="O212" s="13" t="s">
        <v>980</v>
      </c>
      <c r="P212" s="14">
        <f t="shared" si="16"/>
        <v>45972</v>
      </c>
      <c r="Q212" s="62">
        <f t="shared" si="17"/>
        <v>30</v>
      </c>
      <c r="R212" s="13" t="s">
        <v>51</v>
      </c>
    </row>
    <row r="213" spans="1:18" x14ac:dyDescent="0.2">
      <c r="A213" s="13" t="s">
        <v>753</v>
      </c>
      <c r="B213" s="13" t="s">
        <v>480</v>
      </c>
      <c r="C213" s="68" t="s">
        <v>702</v>
      </c>
      <c r="D213" s="14">
        <v>45941</v>
      </c>
      <c r="E213" s="13" t="s">
        <v>764</v>
      </c>
      <c r="F213" s="13" t="s">
        <v>760</v>
      </c>
      <c r="G213" s="68">
        <v>70000</v>
      </c>
      <c r="H213" s="58">
        <v>7</v>
      </c>
      <c r="I213" s="14">
        <v>45943</v>
      </c>
      <c r="J213" s="55">
        <f t="shared" si="15"/>
        <v>2</v>
      </c>
      <c r="K213" s="89">
        <v>2</v>
      </c>
      <c r="L213" s="89" t="s">
        <v>732</v>
      </c>
      <c r="M213" s="56" t="str">
        <f t="shared" si="14"/>
        <v>100</v>
      </c>
      <c r="N213" s="104" t="str" cm="1">
        <f t="array" ref="N213">_xlfn.IFS(J213&gt;=H213,"0",J213&lt;H213,"100")</f>
        <v>100</v>
      </c>
      <c r="O213" s="13" t="s">
        <v>981</v>
      </c>
      <c r="P213" s="14">
        <f t="shared" si="16"/>
        <v>45973</v>
      </c>
      <c r="Q213" s="62">
        <f t="shared" si="17"/>
        <v>30</v>
      </c>
      <c r="R213" s="13" t="s">
        <v>51</v>
      </c>
    </row>
    <row r="214" spans="1:18" x14ac:dyDescent="0.2">
      <c r="A214" s="13" t="s">
        <v>753</v>
      </c>
      <c r="B214" s="13" t="s">
        <v>480</v>
      </c>
      <c r="C214" s="68" t="s">
        <v>703</v>
      </c>
      <c r="D214" s="14">
        <v>45942</v>
      </c>
      <c r="E214" s="13" t="s">
        <v>764</v>
      </c>
      <c r="F214" s="13" t="s">
        <v>760</v>
      </c>
      <c r="G214" s="68">
        <v>70000</v>
      </c>
      <c r="H214" s="58">
        <v>7</v>
      </c>
      <c r="I214" s="14">
        <v>45944</v>
      </c>
      <c r="J214" s="55">
        <f t="shared" si="15"/>
        <v>2</v>
      </c>
      <c r="K214" s="89">
        <v>2</v>
      </c>
      <c r="L214" s="89" t="s">
        <v>732</v>
      </c>
      <c r="M214" s="56" t="str">
        <f t="shared" si="14"/>
        <v>100</v>
      </c>
      <c r="N214" s="104" t="str" cm="1">
        <f t="array" ref="N214">_xlfn.IFS(J214&gt;=H214,"0",J214&lt;H214,"100")</f>
        <v>100</v>
      </c>
      <c r="O214" s="13" t="s">
        <v>982</v>
      </c>
      <c r="P214" s="14">
        <f t="shared" si="16"/>
        <v>45974</v>
      </c>
      <c r="Q214" s="62">
        <f t="shared" si="17"/>
        <v>30</v>
      </c>
      <c r="R214" s="13" t="s">
        <v>51</v>
      </c>
    </row>
    <row r="215" spans="1:18" x14ac:dyDescent="0.2">
      <c r="A215" s="13" t="s">
        <v>753</v>
      </c>
      <c r="B215" s="13" t="s">
        <v>480</v>
      </c>
      <c r="C215" s="68" t="s">
        <v>704</v>
      </c>
      <c r="D215" s="14">
        <v>45943</v>
      </c>
      <c r="E215" s="13" t="s">
        <v>764</v>
      </c>
      <c r="F215" s="13" t="s">
        <v>760</v>
      </c>
      <c r="G215" s="68">
        <v>70000</v>
      </c>
      <c r="H215" s="58">
        <v>7</v>
      </c>
      <c r="I215" s="14">
        <v>45945</v>
      </c>
      <c r="J215" s="55">
        <f t="shared" si="15"/>
        <v>2</v>
      </c>
      <c r="K215" s="89">
        <v>2</v>
      </c>
      <c r="L215" s="89" t="s">
        <v>732</v>
      </c>
      <c r="M215" s="56" t="str">
        <f t="shared" si="14"/>
        <v>100</v>
      </c>
      <c r="N215" s="104" t="str" cm="1">
        <f t="array" ref="N215">_xlfn.IFS(J215&gt;=H215,"0",J215&lt;H215,"100")</f>
        <v>100</v>
      </c>
      <c r="O215" s="13" t="s">
        <v>983</v>
      </c>
      <c r="P215" s="14">
        <f t="shared" si="16"/>
        <v>45975</v>
      </c>
      <c r="Q215" s="62">
        <f t="shared" si="17"/>
        <v>30</v>
      </c>
      <c r="R215" s="13" t="s">
        <v>51</v>
      </c>
    </row>
    <row r="216" spans="1:18" x14ac:dyDescent="0.2">
      <c r="A216" s="13" t="s">
        <v>753</v>
      </c>
      <c r="B216" s="13" t="s">
        <v>480</v>
      </c>
      <c r="C216" s="68" t="s">
        <v>705</v>
      </c>
      <c r="D216" s="14">
        <v>45944</v>
      </c>
      <c r="E216" s="86" t="s">
        <v>389</v>
      </c>
      <c r="F216" s="13" t="s">
        <v>760</v>
      </c>
      <c r="G216" s="68">
        <v>70000</v>
      </c>
      <c r="H216" s="58">
        <v>7</v>
      </c>
      <c r="I216" s="14">
        <v>45946</v>
      </c>
      <c r="J216" s="55">
        <f t="shared" si="15"/>
        <v>2</v>
      </c>
      <c r="K216" s="89">
        <v>2</v>
      </c>
      <c r="L216" s="89" t="s">
        <v>732</v>
      </c>
      <c r="M216" s="56" t="str">
        <f t="shared" si="14"/>
        <v>100</v>
      </c>
      <c r="N216" s="104" t="str" cm="1">
        <f t="array" ref="N216">_xlfn.IFS(J216&gt;=H216,"0",J216&lt;H216,"100")</f>
        <v>100</v>
      </c>
      <c r="O216" s="13" t="s">
        <v>984</v>
      </c>
      <c r="P216" s="14">
        <f t="shared" si="16"/>
        <v>45976</v>
      </c>
      <c r="Q216" s="62">
        <f t="shared" si="17"/>
        <v>30</v>
      </c>
      <c r="R216" s="13" t="s">
        <v>51</v>
      </c>
    </row>
    <row r="217" spans="1:18" x14ac:dyDescent="0.2">
      <c r="A217" s="13" t="s">
        <v>753</v>
      </c>
      <c r="B217" s="13" t="s">
        <v>480</v>
      </c>
      <c r="C217" s="68" t="s">
        <v>706</v>
      </c>
      <c r="D217" s="14">
        <v>45945</v>
      </c>
      <c r="E217" s="86" t="s">
        <v>389</v>
      </c>
      <c r="F217" s="13" t="s">
        <v>760</v>
      </c>
      <c r="G217" s="68">
        <v>70000</v>
      </c>
      <c r="H217" s="58">
        <v>7</v>
      </c>
      <c r="I217" s="14">
        <v>45947</v>
      </c>
      <c r="J217" s="55">
        <f t="shared" si="15"/>
        <v>2</v>
      </c>
      <c r="K217" s="89">
        <v>2</v>
      </c>
      <c r="L217" s="89" t="s">
        <v>732</v>
      </c>
      <c r="M217" s="56" t="str">
        <f t="shared" si="14"/>
        <v>100</v>
      </c>
      <c r="N217" s="104" t="str" cm="1">
        <f t="array" ref="N217">_xlfn.IFS(J217&gt;=H217,"0",J217&lt;H217,"100")</f>
        <v>100</v>
      </c>
      <c r="O217" s="13" t="s">
        <v>985</v>
      </c>
      <c r="P217" s="14">
        <f t="shared" si="16"/>
        <v>45977</v>
      </c>
      <c r="Q217" s="62">
        <f t="shared" si="17"/>
        <v>30</v>
      </c>
      <c r="R217" s="13" t="s">
        <v>51</v>
      </c>
    </row>
    <row r="218" spans="1:18" x14ac:dyDescent="0.2">
      <c r="A218" s="13" t="s">
        <v>753</v>
      </c>
      <c r="B218" s="13" t="s">
        <v>480</v>
      </c>
      <c r="C218" s="68" t="s">
        <v>707</v>
      </c>
      <c r="D218" s="14">
        <v>45946</v>
      </c>
      <c r="E218" s="86" t="s">
        <v>389</v>
      </c>
      <c r="F218" s="13" t="s">
        <v>760</v>
      </c>
      <c r="G218" s="68">
        <v>70000</v>
      </c>
      <c r="H218" s="58">
        <v>7</v>
      </c>
      <c r="I218" s="14">
        <v>45948</v>
      </c>
      <c r="J218" s="55">
        <f t="shared" si="15"/>
        <v>2</v>
      </c>
      <c r="K218" s="89">
        <v>2</v>
      </c>
      <c r="L218" s="89" t="s">
        <v>732</v>
      </c>
      <c r="M218" s="56" t="str">
        <f t="shared" si="14"/>
        <v>100</v>
      </c>
      <c r="N218" s="104" t="str" cm="1">
        <f t="array" ref="N218">_xlfn.IFS(J218&gt;=H218,"0",J218&lt;H218,"100")</f>
        <v>100</v>
      </c>
      <c r="O218" s="13" t="s">
        <v>986</v>
      </c>
      <c r="P218" s="14">
        <f t="shared" si="16"/>
        <v>45978</v>
      </c>
      <c r="Q218" s="62">
        <f t="shared" si="17"/>
        <v>30</v>
      </c>
      <c r="R218" s="13" t="s">
        <v>51</v>
      </c>
    </row>
    <row r="219" spans="1:18" x14ac:dyDescent="0.2">
      <c r="A219" s="13" t="s">
        <v>753</v>
      </c>
      <c r="B219" s="13" t="s">
        <v>480</v>
      </c>
      <c r="C219" s="68" t="s">
        <v>708</v>
      </c>
      <c r="D219" s="14">
        <v>45947</v>
      </c>
      <c r="E219" s="86" t="s">
        <v>389</v>
      </c>
      <c r="F219" s="13" t="s">
        <v>760</v>
      </c>
      <c r="G219" s="68">
        <v>70000</v>
      </c>
      <c r="H219" s="58">
        <v>7</v>
      </c>
      <c r="I219" s="14">
        <v>45949</v>
      </c>
      <c r="J219" s="55">
        <f t="shared" si="15"/>
        <v>2</v>
      </c>
      <c r="K219" s="89">
        <v>2</v>
      </c>
      <c r="L219" s="89" t="s">
        <v>732</v>
      </c>
      <c r="M219" s="56" t="str">
        <f t="shared" si="14"/>
        <v>100</v>
      </c>
      <c r="N219" s="104" t="str" cm="1">
        <f t="array" ref="N219">_xlfn.IFS(J219&gt;=H219,"0",J219&lt;H219,"100")</f>
        <v>100</v>
      </c>
      <c r="O219" s="13" t="s">
        <v>987</v>
      </c>
      <c r="P219" s="14">
        <f t="shared" si="16"/>
        <v>45979</v>
      </c>
      <c r="Q219" s="62">
        <f t="shared" si="17"/>
        <v>30</v>
      </c>
      <c r="R219" s="13" t="s">
        <v>51</v>
      </c>
    </row>
    <row r="220" spans="1:18" x14ac:dyDescent="0.2">
      <c r="A220" s="13" t="s">
        <v>753</v>
      </c>
      <c r="B220" s="13" t="s">
        <v>480</v>
      </c>
      <c r="C220" s="68" t="s">
        <v>709</v>
      </c>
      <c r="D220" s="14">
        <v>45948</v>
      </c>
      <c r="E220" s="86" t="s">
        <v>389</v>
      </c>
      <c r="F220" s="13" t="s">
        <v>760</v>
      </c>
      <c r="G220" s="68">
        <v>70000</v>
      </c>
      <c r="H220" s="58">
        <v>7</v>
      </c>
      <c r="I220" s="14">
        <v>45950</v>
      </c>
      <c r="J220" s="55">
        <f t="shared" si="15"/>
        <v>2</v>
      </c>
      <c r="K220" s="89">
        <v>2</v>
      </c>
      <c r="L220" s="89" t="s">
        <v>732</v>
      </c>
      <c r="M220" s="56" t="str">
        <f t="shared" si="14"/>
        <v>100</v>
      </c>
      <c r="N220" s="104" t="str" cm="1">
        <f t="array" ref="N220">_xlfn.IFS(J220&gt;=H220,"0",J220&lt;H220,"100")</f>
        <v>100</v>
      </c>
      <c r="O220" s="13" t="s">
        <v>988</v>
      </c>
      <c r="P220" s="14">
        <f t="shared" si="16"/>
        <v>45980</v>
      </c>
      <c r="Q220" s="62">
        <f t="shared" si="17"/>
        <v>30</v>
      </c>
      <c r="R220" s="13" t="s">
        <v>51</v>
      </c>
    </row>
    <row r="221" spans="1:18" x14ac:dyDescent="0.2">
      <c r="A221" s="13" t="s">
        <v>753</v>
      </c>
      <c r="B221" s="13" t="s">
        <v>480</v>
      </c>
      <c r="C221" s="68" t="s">
        <v>710</v>
      </c>
      <c r="D221" s="14">
        <v>45949</v>
      </c>
      <c r="E221" s="86" t="s">
        <v>389</v>
      </c>
      <c r="F221" s="13" t="s">
        <v>760</v>
      </c>
      <c r="G221" s="68">
        <v>70000</v>
      </c>
      <c r="H221" s="58">
        <v>7</v>
      </c>
      <c r="I221" s="14">
        <v>45951</v>
      </c>
      <c r="J221" s="55">
        <f t="shared" si="15"/>
        <v>2</v>
      </c>
      <c r="K221" s="89">
        <v>2</v>
      </c>
      <c r="L221" s="89" t="s">
        <v>732</v>
      </c>
      <c r="M221" s="56" t="str">
        <f t="shared" si="14"/>
        <v>100</v>
      </c>
      <c r="N221" s="104" t="str" cm="1">
        <f t="array" ref="N221">_xlfn.IFS(J221&gt;=H221,"0",J221&lt;H221,"100")</f>
        <v>100</v>
      </c>
      <c r="O221" s="13" t="s">
        <v>989</v>
      </c>
      <c r="P221" s="14">
        <f t="shared" si="16"/>
        <v>45981</v>
      </c>
      <c r="Q221" s="62">
        <f t="shared" si="17"/>
        <v>30</v>
      </c>
      <c r="R221" s="13" t="s">
        <v>51</v>
      </c>
    </row>
    <row r="222" spans="1:18" x14ac:dyDescent="0.2">
      <c r="A222" s="13" t="s">
        <v>753</v>
      </c>
      <c r="B222" s="13" t="s">
        <v>480</v>
      </c>
      <c r="C222" s="68" t="s">
        <v>711</v>
      </c>
      <c r="D222" s="14">
        <v>45950</v>
      </c>
      <c r="E222" s="86" t="s">
        <v>389</v>
      </c>
      <c r="F222" s="13" t="s">
        <v>760</v>
      </c>
      <c r="G222" s="68">
        <v>70000</v>
      </c>
      <c r="H222" s="58">
        <v>7</v>
      </c>
      <c r="I222" s="14">
        <v>45952</v>
      </c>
      <c r="J222" s="55">
        <f t="shared" si="15"/>
        <v>2</v>
      </c>
      <c r="K222" s="89">
        <v>2</v>
      </c>
      <c r="L222" s="89" t="s">
        <v>732</v>
      </c>
      <c r="M222" s="56" t="str">
        <f t="shared" si="14"/>
        <v>100</v>
      </c>
      <c r="N222" s="104" t="str" cm="1">
        <f t="array" ref="N222">_xlfn.IFS(J222&gt;=H222,"0",J222&lt;H222,"100")</f>
        <v>100</v>
      </c>
      <c r="O222" s="13" t="s">
        <v>990</v>
      </c>
      <c r="P222" s="14">
        <f t="shared" si="16"/>
        <v>45982</v>
      </c>
      <c r="Q222" s="62">
        <f t="shared" si="17"/>
        <v>30</v>
      </c>
      <c r="R222" s="13" t="s">
        <v>51</v>
      </c>
    </row>
    <row r="223" spans="1:18" x14ac:dyDescent="0.2">
      <c r="A223" s="13" t="s">
        <v>753</v>
      </c>
      <c r="B223" s="13" t="s">
        <v>480</v>
      </c>
      <c r="C223" s="68" t="s">
        <v>712</v>
      </c>
      <c r="D223" s="14">
        <v>45951</v>
      </c>
      <c r="E223" s="86" t="s">
        <v>389</v>
      </c>
      <c r="F223" s="13" t="s">
        <v>760</v>
      </c>
      <c r="G223" s="68">
        <v>70000</v>
      </c>
      <c r="H223" s="58">
        <v>7</v>
      </c>
      <c r="I223" s="14">
        <v>45953</v>
      </c>
      <c r="J223" s="55">
        <f t="shared" si="15"/>
        <v>2</v>
      </c>
      <c r="K223" s="89">
        <v>2</v>
      </c>
      <c r="L223" s="89" t="s">
        <v>732</v>
      </c>
      <c r="M223" s="56" t="str">
        <f t="shared" si="14"/>
        <v>100</v>
      </c>
      <c r="N223" s="104" t="str" cm="1">
        <f t="array" ref="N223">_xlfn.IFS(J223&gt;=H223,"0",J223&lt;H223,"100")</f>
        <v>100</v>
      </c>
      <c r="O223" s="13" t="s">
        <v>991</v>
      </c>
      <c r="P223" s="14">
        <f t="shared" si="16"/>
        <v>45983</v>
      </c>
      <c r="Q223" s="62">
        <f t="shared" si="17"/>
        <v>30</v>
      </c>
      <c r="R223" s="13" t="s">
        <v>51</v>
      </c>
    </row>
    <row r="224" spans="1:18" x14ac:dyDescent="0.2">
      <c r="A224" s="13" t="s">
        <v>753</v>
      </c>
      <c r="B224" s="13" t="s">
        <v>480</v>
      </c>
      <c r="C224" s="68" t="s">
        <v>713</v>
      </c>
      <c r="D224" s="14">
        <v>45952</v>
      </c>
      <c r="E224" s="86" t="s">
        <v>389</v>
      </c>
      <c r="F224" s="13" t="s">
        <v>760</v>
      </c>
      <c r="G224" s="68">
        <v>70000</v>
      </c>
      <c r="H224" s="58">
        <v>7</v>
      </c>
      <c r="I224" s="14">
        <v>45954</v>
      </c>
      <c r="J224" s="55">
        <f t="shared" si="15"/>
        <v>2</v>
      </c>
      <c r="K224" s="89">
        <v>2</v>
      </c>
      <c r="L224" s="89" t="s">
        <v>732</v>
      </c>
      <c r="M224" s="56" t="str">
        <f t="shared" si="14"/>
        <v>100</v>
      </c>
      <c r="N224" s="104" t="str" cm="1">
        <f t="array" ref="N224">_xlfn.IFS(J224&gt;=H224,"0",J224&lt;H224,"100")</f>
        <v>100</v>
      </c>
      <c r="O224" s="13" t="s">
        <v>992</v>
      </c>
      <c r="P224" s="14">
        <f t="shared" si="16"/>
        <v>45984</v>
      </c>
      <c r="Q224" s="62">
        <f t="shared" si="17"/>
        <v>30</v>
      </c>
      <c r="R224" s="13" t="s">
        <v>51</v>
      </c>
    </row>
    <row r="225" spans="1:18" x14ac:dyDescent="0.2">
      <c r="A225" s="13" t="s">
        <v>753</v>
      </c>
      <c r="B225" s="13" t="s">
        <v>480</v>
      </c>
      <c r="C225" s="68" t="s">
        <v>714</v>
      </c>
      <c r="D225" s="14">
        <v>45953</v>
      </c>
      <c r="E225" s="86" t="s">
        <v>389</v>
      </c>
      <c r="F225" s="13" t="s">
        <v>760</v>
      </c>
      <c r="G225" s="68">
        <v>70000</v>
      </c>
      <c r="H225" s="58">
        <v>7</v>
      </c>
      <c r="I225" s="14">
        <v>45955</v>
      </c>
      <c r="J225" s="55">
        <f t="shared" si="15"/>
        <v>2</v>
      </c>
      <c r="K225" s="89">
        <v>2</v>
      </c>
      <c r="L225" s="89" t="s">
        <v>732</v>
      </c>
      <c r="M225" s="56" t="str">
        <f t="shared" si="14"/>
        <v>100</v>
      </c>
      <c r="N225" s="104" t="str" cm="1">
        <f t="array" ref="N225">_xlfn.IFS(J225&gt;=H225,"0",J225&lt;H225,"100")</f>
        <v>100</v>
      </c>
      <c r="O225" s="13" t="s">
        <v>993</v>
      </c>
      <c r="P225" s="14">
        <f t="shared" si="16"/>
        <v>45985</v>
      </c>
      <c r="Q225" s="62">
        <f t="shared" si="17"/>
        <v>30</v>
      </c>
      <c r="R225" s="13" t="s">
        <v>51</v>
      </c>
    </row>
    <row r="226" spans="1:18" x14ac:dyDescent="0.2">
      <c r="A226" s="13" t="s">
        <v>753</v>
      </c>
      <c r="B226" s="13" t="s">
        <v>480</v>
      </c>
      <c r="C226" s="68" t="s">
        <v>715</v>
      </c>
      <c r="D226" s="14">
        <v>45954</v>
      </c>
      <c r="E226" s="86" t="s">
        <v>389</v>
      </c>
      <c r="F226" s="13" t="s">
        <v>760</v>
      </c>
      <c r="G226" s="68">
        <v>70000</v>
      </c>
      <c r="H226" s="58">
        <v>7</v>
      </c>
      <c r="I226" s="14">
        <v>45956</v>
      </c>
      <c r="J226" s="55">
        <f t="shared" si="15"/>
        <v>2</v>
      </c>
      <c r="K226" s="89">
        <v>2</v>
      </c>
      <c r="L226" s="89" t="s">
        <v>732</v>
      </c>
      <c r="M226" s="56" t="str">
        <f t="shared" si="14"/>
        <v>100</v>
      </c>
      <c r="N226" s="104" t="str" cm="1">
        <f t="array" ref="N226">_xlfn.IFS(J226&gt;=H226,"0",J226&lt;H226,"100")</f>
        <v>100</v>
      </c>
      <c r="O226" s="13" t="s">
        <v>994</v>
      </c>
      <c r="P226" s="14">
        <f t="shared" si="16"/>
        <v>45986</v>
      </c>
      <c r="Q226" s="62">
        <f t="shared" si="17"/>
        <v>30</v>
      </c>
      <c r="R226" s="13" t="s">
        <v>51</v>
      </c>
    </row>
    <row r="227" spans="1:18" x14ac:dyDescent="0.2">
      <c r="A227" s="13" t="s">
        <v>753</v>
      </c>
      <c r="B227" s="13" t="s">
        <v>480</v>
      </c>
      <c r="C227" s="68" t="s">
        <v>716</v>
      </c>
      <c r="D227" s="14">
        <v>45955</v>
      </c>
      <c r="E227" s="86" t="s">
        <v>389</v>
      </c>
      <c r="F227" s="13" t="s">
        <v>760</v>
      </c>
      <c r="G227" s="68">
        <v>70000</v>
      </c>
      <c r="H227" s="58">
        <v>7</v>
      </c>
      <c r="I227" s="14">
        <v>45957</v>
      </c>
      <c r="J227" s="55">
        <f t="shared" si="15"/>
        <v>2</v>
      </c>
      <c r="K227" s="89">
        <v>2</v>
      </c>
      <c r="L227" s="89" t="s">
        <v>732</v>
      </c>
      <c r="M227" s="56" t="str">
        <f t="shared" si="14"/>
        <v>100</v>
      </c>
      <c r="N227" s="104" t="str" cm="1">
        <f t="array" ref="N227">_xlfn.IFS(J227&gt;=H227,"0",J227&lt;H227,"100")</f>
        <v>100</v>
      </c>
      <c r="O227" s="13" t="s">
        <v>995</v>
      </c>
      <c r="P227" s="14">
        <f t="shared" si="16"/>
        <v>45987</v>
      </c>
      <c r="Q227" s="62">
        <f t="shared" si="17"/>
        <v>30</v>
      </c>
      <c r="R227" s="13" t="s">
        <v>51</v>
      </c>
    </row>
    <row r="228" spans="1:18" x14ac:dyDescent="0.2">
      <c r="A228" s="13" t="s">
        <v>753</v>
      </c>
      <c r="B228" s="13" t="s">
        <v>480</v>
      </c>
      <c r="C228" s="68" t="s">
        <v>717</v>
      </c>
      <c r="D228" s="14">
        <v>45956</v>
      </c>
      <c r="E228" s="86" t="s">
        <v>389</v>
      </c>
      <c r="F228" s="13" t="s">
        <v>760</v>
      </c>
      <c r="G228" s="68">
        <v>70000</v>
      </c>
      <c r="H228" s="58">
        <v>7</v>
      </c>
      <c r="I228" s="14">
        <v>45958</v>
      </c>
      <c r="J228" s="55">
        <f t="shared" si="15"/>
        <v>2</v>
      </c>
      <c r="K228" s="89">
        <v>2</v>
      </c>
      <c r="L228" s="89" t="s">
        <v>732</v>
      </c>
      <c r="M228" s="56" t="str">
        <f t="shared" si="14"/>
        <v>100</v>
      </c>
      <c r="N228" s="104" t="str" cm="1">
        <f t="array" ref="N228">_xlfn.IFS(J228&gt;=H228,"0",J228&lt;H228,"100")</f>
        <v>100</v>
      </c>
      <c r="O228" s="13" t="s">
        <v>996</v>
      </c>
      <c r="P228" s="14">
        <f t="shared" si="16"/>
        <v>45988</v>
      </c>
      <c r="Q228" s="62">
        <f t="shared" si="17"/>
        <v>30</v>
      </c>
      <c r="R228" s="13" t="s">
        <v>51</v>
      </c>
    </row>
    <row r="229" spans="1:18" x14ac:dyDescent="0.2">
      <c r="A229" s="13" t="s">
        <v>1028</v>
      </c>
      <c r="B229" s="13" t="s">
        <v>481</v>
      </c>
      <c r="C229" s="68" t="s">
        <v>718</v>
      </c>
      <c r="D229" s="14">
        <v>45957</v>
      </c>
      <c r="E229" s="13" t="s">
        <v>768</v>
      </c>
      <c r="F229" s="13" t="s">
        <v>766</v>
      </c>
      <c r="G229" s="68">
        <v>70000</v>
      </c>
      <c r="H229" s="58">
        <v>7</v>
      </c>
      <c r="I229" s="14">
        <v>45959</v>
      </c>
      <c r="J229" s="55">
        <f t="shared" si="15"/>
        <v>2</v>
      </c>
      <c r="K229" s="89">
        <v>2</v>
      </c>
      <c r="L229" s="89" t="s">
        <v>732</v>
      </c>
      <c r="M229" s="56" t="str">
        <f t="shared" si="14"/>
        <v>100</v>
      </c>
      <c r="N229" s="104" t="str" cm="1">
        <f t="array" ref="N229">_xlfn.IFS(J229&gt;=H229,"0",J229&lt;H229,"100")</f>
        <v>100</v>
      </c>
      <c r="O229" s="13" t="s">
        <v>997</v>
      </c>
      <c r="P229" s="14">
        <f t="shared" si="16"/>
        <v>45989</v>
      </c>
      <c r="Q229" s="62">
        <f t="shared" si="17"/>
        <v>30</v>
      </c>
      <c r="R229" s="13" t="s">
        <v>51</v>
      </c>
    </row>
    <row r="230" spans="1:18" x14ac:dyDescent="0.2">
      <c r="A230" s="13" t="s">
        <v>1028</v>
      </c>
      <c r="B230" s="13" t="s">
        <v>481</v>
      </c>
      <c r="C230" s="68" t="s">
        <v>719</v>
      </c>
      <c r="D230" s="14">
        <v>45958</v>
      </c>
      <c r="E230" s="13" t="s">
        <v>768</v>
      </c>
      <c r="F230" s="13" t="s">
        <v>766</v>
      </c>
      <c r="G230" s="68">
        <v>70000</v>
      </c>
      <c r="H230" s="58">
        <v>7</v>
      </c>
      <c r="I230" s="14">
        <v>45960</v>
      </c>
      <c r="J230" s="55">
        <f t="shared" si="15"/>
        <v>2</v>
      </c>
      <c r="K230" s="89">
        <v>2</v>
      </c>
      <c r="L230" s="89" t="s">
        <v>732</v>
      </c>
      <c r="M230" s="56" t="str">
        <f t="shared" si="14"/>
        <v>100</v>
      </c>
      <c r="N230" s="104" t="str" cm="1">
        <f t="array" ref="N230">_xlfn.IFS(J230&gt;=H230,"0",J230&lt;H230,"100")</f>
        <v>100</v>
      </c>
      <c r="O230" s="13" t="s">
        <v>998</v>
      </c>
      <c r="P230" s="14">
        <f t="shared" si="16"/>
        <v>45990</v>
      </c>
      <c r="Q230" s="62">
        <f t="shared" si="17"/>
        <v>30</v>
      </c>
      <c r="R230" s="13" t="s">
        <v>51</v>
      </c>
    </row>
    <row r="231" spans="1:18" x14ac:dyDescent="0.2">
      <c r="A231" s="13" t="s">
        <v>1028</v>
      </c>
      <c r="B231" s="13" t="s">
        <v>481</v>
      </c>
      <c r="C231" s="68" t="s">
        <v>720</v>
      </c>
      <c r="D231" s="14">
        <v>45959</v>
      </c>
      <c r="E231" s="87" t="s">
        <v>769</v>
      </c>
      <c r="F231" s="13" t="s">
        <v>766</v>
      </c>
      <c r="G231" s="68">
        <v>70000</v>
      </c>
      <c r="H231" s="58">
        <v>7</v>
      </c>
      <c r="I231" s="14">
        <v>45961</v>
      </c>
      <c r="J231" s="55">
        <f t="shared" si="15"/>
        <v>2</v>
      </c>
      <c r="K231" s="89">
        <v>2</v>
      </c>
      <c r="L231" s="89" t="s">
        <v>732</v>
      </c>
      <c r="M231" s="56" t="str">
        <f t="shared" si="14"/>
        <v>100</v>
      </c>
      <c r="N231" s="104" t="str" cm="1">
        <f t="array" ref="N231">_xlfn.IFS(J231&gt;=H231,"0",J231&lt;H231,"100")</f>
        <v>100</v>
      </c>
      <c r="O231" s="13" t="s">
        <v>999</v>
      </c>
      <c r="P231" s="14">
        <f t="shared" si="16"/>
        <v>45991</v>
      </c>
      <c r="Q231" s="62">
        <f t="shared" si="17"/>
        <v>30</v>
      </c>
      <c r="R231" s="13" t="s">
        <v>51</v>
      </c>
    </row>
    <row r="232" spans="1:18" x14ac:dyDescent="0.2">
      <c r="A232" s="13" t="s">
        <v>1028</v>
      </c>
      <c r="B232" s="13" t="s">
        <v>481</v>
      </c>
      <c r="C232" s="68" t="s">
        <v>721</v>
      </c>
      <c r="D232" s="14">
        <v>45960</v>
      </c>
      <c r="E232" s="87" t="s">
        <v>769</v>
      </c>
      <c r="F232" s="13" t="s">
        <v>766</v>
      </c>
      <c r="G232" s="68">
        <v>70000</v>
      </c>
      <c r="H232" s="58">
        <v>7</v>
      </c>
      <c r="I232" s="14">
        <v>45962</v>
      </c>
      <c r="J232" s="55">
        <f t="shared" si="15"/>
        <v>2</v>
      </c>
      <c r="K232" s="89">
        <v>2</v>
      </c>
      <c r="L232" s="89" t="s">
        <v>732</v>
      </c>
      <c r="M232" s="56" t="str">
        <f t="shared" si="14"/>
        <v>100</v>
      </c>
      <c r="N232" s="104" t="str" cm="1">
        <f t="array" ref="N232">_xlfn.IFS(J232&gt;=H232,"0",J232&lt;H232,"100")</f>
        <v>100</v>
      </c>
      <c r="O232" s="13" t="s">
        <v>1000</v>
      </c>
      <c r="P232" s="14">
        <f t="shared" si="16"/>
        <v>45992</v>
      </c>
      <c r="Q232" s="62">
        <f t="shared" si="17"/>
        <v>30</v>
      </c>
      <c r="R232" s="13" t="s">
        <v>51</v>
      </c>
    </row>
    <row r="233" spans="1:18" x14ac:dyDescent="0.2">
      <c r="A233" s="13" t="s">
        <v>1028</v>
      </c>
      <c r="B233" s="13" t="s">
        <v>481</v>
      </c>
      <c r="C233" s="68" t="s">
        <v>722</v>
      </c>
      <c r="D233" s="14">
        <v>45961</v>
      </c>
      <c r="E233" s="87" t="s">
        <v>769</v>
      </c>
      <c r="F233" s="13" t="s">
        <v>766</v>
      </c>
      <c r="G233" s="68">
        <v>70000</v>
      </c>
      <c r="H233" s="58">
        <v>7</v>
      </c>
      <c r="I233" s="14">
        <v>45963</v>
      </c>
      <c r="J233" s="55">
        <f t="shared" si="15"/>
        <v>2</v>
      </c>
      <c r="K233" s="89">
        <v>2</v>
      </c>
      <c r="L233" s="89" t="s">
        <v>732</v>
      </c>
      <c r="M233" s="56" t="str">
        <f t="shared" si="14"/>
        <v>100</v>
      </c>
      <c r="N233" s="104" t="str" cm="1">
        <f t="array" ref="N233">_xlfn.IFS(J233&gt;=H233,"0",J233&lt;H233,"100")</f>
        <v>100</v>
      </c>
      <c r="O233" s="13" t="s">
        <v>1001</v>
      </c>
      <c r="P233" s="14">
        <f t="shared" si="16"/>
        <v>45993</v>
      </c>
      <c r="Q233" s="62">
        <f t="shared" si="17"/>
        <v>30</v>
      </c>
      <c r="R233" s="13" t="s">
        <v>51</v>
      </c>
    </row>
    <row r="234" spans="1:18" x14ac:dyDescent="0.2">
      <c r="A234" s="13" t="s">
        <v>1028</v>
      </c>
      <c r="B234" s="13" t="s">
        <v>481</v>
      </c>
      <c r="C234" s="68" t="s">
        <v>723</v>
      </c>
      <c r="D234" s="14">
        <v>45961</v>
      </c>
      <c r="E234" s="87" t="s">
        <v>769</v>
      </c>
      <c r="F234" s="13" t="s">
        <v>766</v>
      </c>
      <c r="G234" s="68">
        <v>70000</v>
      </c>
      <c r="H234" s="58">
        <v>7</v>
      </c>
      <c r="I234" s="14">
        <v>45964</v>
      </c>
      <c r="J234" s="55">
        <f t="shared" si="15"/>
        <v>3</v>
      </c>
      <c r="K234" s="89">
        <v>3</v>
      </c>
      <c r="L234" s="89" t="s">
        <v>732</v>
      </c>
      <c r="M234" s="56" t="str">
        <f t="shared" si="14"/>
        <v>100</v>
      </c>
      <c r="N234" s="104" t="str" cm="1">
        <f t="array" ref="N234">_xlfn.IFS(J234&gt;=H234,"0",J234&lt;H234,"100")</f>
        <v>100</v>
      </c>
      <c r="O234" s="13" t="s">
        <v>1002</v>
      </c>
      <c r="P234" s="14">
        <f t="shared" si="16"/>
        <v>45994</v>
      </c>
      <c r="Q234" s="62">
        <f t="shared" si="17"/>
        <v>30</v>
      </c>
      <c r="R234" s="13" t="s">
        <v>51</v>
      </c>
    </row>
  </sheetData>
  <autoFilter ref="A1:T234" xr:uid="{2BDACB33-AB60-4587-B14B-893789D61153}"/>
  <phoneticPr fontId="13" type="noConversion"/>
  <conditionalFormatting sqref="E1:E22 E24:E27 E33 E36:E103 E106:E138 E147:E148 E150:E1048576">
    <cfRule type="duplicateValues" dxfId="19" priority="35"/>
  </conditionalFormatting>
  <conditionalFormatting sqref="E23 E28:E32 E34:E35">
    <cfRule type="containsBlanks" dxfId="18" priority="2">
      <formula>LEN(TRIM(E23))=0</formula>
    </cfRule>
    <cfRule type="duplicateValues" dxfId="17" priority="3"/>
  </conditionalFormatting>
  <conditionalFormatting sqref="E104:E105 E139:E146 E149">
    <cfRule type="containsBlanks" dxfId="16" priority="4">
      <formula>LEN(TRIM(E104))=0</formula>
    </cfRule>
  </conditionalFormatting>
  <conditionalFormatting sqref="E149 E139:E146 E104:E105">
    <cfRule type="duplicateValues" dxfId="15" priority="5"/>
  </conditionalFormatting>
  <conditionalFormatting sqref="G1:G124 C1:D234 G129:G132 G139:G1048576">
    <cfRule type="containsBlanks" dxfId="14" priority="32">
      <formula>LEN(TRIM(C1))=0</formula>
    </cfRule>
  </conditionalFormatting>
  <conditionalFormatting sqref="I2:I234">
    <cfRule type="containsBlanks" dxfId="13" priority="1">
      <formula>LEN(TRIM(I2))=0</formula>
    </cfRule>
  </conditionalFormatting>
  <conditionalFormatting sqref="O1:O1048576">
    <cfRule type="duplicateValues" dxfId="12" priority="33"/>
  </conditionalFormatting>
  <conditionalFormatting sqref="R1:S1048351 T2">
    <cfRule type="containsText" dxfId="11" priority="15" operator="containsText" text="Under Process">
      <formula>NOT(ISERROR(SEARCH("Under Process",R1)))</formula>
    </cfRule>
    <cfRule type="containsText" dxfId="10" priority="16" operator="containsText" text="Closed">
      <formula>NOT(ISERROR(SEARCH("Closed",R1)))</formula>
    </cfRule>
  </conditionalFormatting>
  <dataValidations count="2">
    <dataValidation type="list" allowBlank="1" showInputMessage="1" showErrorMessage="1" sqref="R121:R234 R109:R119 R2:R31 R102:R105 R33:R91" xr:uid="{828C22F1-0B70-4160-9416-F060E7EE3C7D}">
      <formula1>"Closed , Under Process"</formula1>
    </dataValidation>
    <dataValidation type="list" allowBlank="1" showInputMessage="1" showErrorMessage="1" sqref="B2:B234" xr:uid="{D0A7BFDB-FB52-455F-B6F1-B3081383A2A5}">
      <formula1>"General, Equipment, IT"</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9356-7942-4636-8AD2-8941C6235D72}">
  <sheetPr filterMode="1">
    <tabColor theme="8"/>
  </sheetPr>
  <dimension ref="A1:R131"/>
  <sheetViews>
    <sheetView zoomScale="60" zoomScaleNormal="60" workbookViewId="0">
      <pane xSplit="4" ySplit="1" topLeftCell="E61" activePane="bottomRight" state="frozen"/>
      <selection pane="bottomLeft" activeCell="A2" sqref="A2"/>
      <selection pane="topRight" activeCell="E1" sqref="E1"/>
      <selection pane="bottomRight" activeCell="K65" sqref="K65"/>
    </sheetView>
  </sheetViews>
  <sheetFormatPr defaultColWidth="9.01171875" defaultRowHeight="15" x14ac:dyDescent="0.2"/>
  <cols>
    <col min="1" max="1" width="13.85546875" style="13" customWidth="1"/>
    <col min="2" max="2" width="20.4453125" style="13" customWidth="1"/>
    <col min="3" max="3" width="25.15234375" style="13" customWidth="1"/>
    <col min="4" max="4" width="21.25390625" style="14" customWidth="1"/>
    <col min="5" max="5" width="64.5703125" style="13" bestFit="1" customWidth="1"/>
    <col min="6" max="6" width="28.515625" style="13" customWidth="1"/>
    <col min="7" max="7" width="28.11328125" style="13" customWidth="1"/>
    <col min="8" max="8" width="28.11328125" style="16" customWidth="1"/>
    <col min="9" max="9" width="30.66796875" style="14" bestFit="1" customWidth="1"/>
    <col min="10" max="10" width="33.359375" style="16" customWidth="1"/>
    <col min="11" max="11" width="18.16015625" style="16" bestFit="1" customWidth="1"/>
    <col min="12" max="12" width="23" style="13" customWidth="1"/>
    <col min="13" max="13" width="50.17578125" style="14" bestFit="1" customWidth="1"/>
    <col min="14" max="14" width="29.59375" style="14" bestFit="1" customWidth="1"/>
    <col min="15" max="15" width="14.9296875" style="13" bestFit="1" customWidth="1"/>
    <col min="16" max="16" width="13.44921875" style="13" bestFit="1" customWidth="1"/>
    <col min="17" max="17" width="17.08203125" style="17" bestFit="1" customWidth="1"/>
    <col min="18" max="18" width="22.328125" style="16" bestFit="1" customWidth="1"/>
    <col min="19" max="16384" width="9.01171875" style="13"/>
  </cols>
  <sheetData>
    <row r="1" spans="1:18" x14ac:dyDescent="0.2">
      <c r="A1" s="1" t="s">
        <v>1</v>
      </c>
      <c r="B1" s="1" t="s">
        <v>2</v>
      </c>
      <c r="C1" s="2" t="s">
        <v>3</v>
      </c>
      <c r="D1" s="3" t="s">
        <v>4</v>
      </c>
      <c r="E1" s="4" t="s">
        <v>5</v>
      </c>
      <c r="F1" s="5" t="s">
        <v>6</v>
      </c>
      <c r="G1" s="2" t="s">
        <v>7</v>
      </c>
      <c r="H1" s="6" t="s">
        <v>8</v>
      </c>
      <c r="I1" s="7" t="s">
        <v>9</v>
      </c>
      <c r="J1" s="8" t="s">
        <v>10</v>
      </c>
      <c r="K1" s="8" t="s">
        <v>11</v>
      </c>
      <c r="L1" s="9" t="s">
        <v>12</v>
      </c>
      <c r="M1" s="7" t="s">
        <v>13</v>
      </c>
      <c r="N1" s="10" t="s">
        <v>14</v>
      </c>
      <c r="O1" s="9" t="s">
        <v>15</v>
      </c>
      <c r="P1" s="9" t="s">
        <v>16</v>
      </c>
      <c r="Q1" s="11" t="s">
        <v>17</v>
      </c>
      <c r="R1" s="12" t="s">
        <v>18</v>
      </c>
    </row>
    <row r="2" spans="1:18" x14ac:dyDescent="0.2">
      <c r="A2" s="13" t="s">
        <v>136</v>
      </c>
      <c r="B2" s="13" t="s">
        <v>20</v>
      </c>
      <c r="C2" s="13">
        <v>55930</v>
      </c>
      <c r="D2" s="14">
        <v>45567</v>
      </c>
      <c r="E2" s="13" t="s">
        <v>733</v>
      </c>
      <c r="F2" s="13" t="s">
        <v>734</v>
      </c>
      <c r="G2" s="15">
        <v>13900</v>
      </c>
      <c r="H2" s="16">
        <v>7</v>
      </c>
      <c r="J2" s="16">
        <f ca="1">IF(ISBLANK(I2),TODAY()-D2,I2-D2)</f>
        <v>398</v>
      </c>
      <c r="K2" s="16" t="str">
        <f ca="1">IF(J2&gt;=H2,"0",IF(I2&lt;&gt;"","100","50"))</f>
        <v>0</v>
      </c>
      <c r="O2" s="13" t="s">
        <v>51</v>
      </c>
      <c r="P2" s="13" t="s">
        <v>735</v>
      </c>
      <c r="R2" s="16" t="s">
        <v>25</v>
      </c>
    </row>
    <row r="3" spans="1:18" x14ac:dyDescent="0.2">
      <c r="A3" s="13" t="s">
        <v>19</v>
      </c>
      <c r="B3" s="13" t="s">
        <v>20</v>
      </c>
      <c r="C3" s="13">
        <v>55934</v>
      </c>
      <c r="D3" s="14">
        <v>45567</v>
      </c>
      <c r="E3" s="13" t="s">
        <v>736</v>
      </c>
      <c r="F3" s="13" t="s">
        <v>737</v>
      </c>
      <c r="G3" s="15">
        <v>2000</v>
      </c>
      <c r="H3" s="16">
        <v>7</v>
      </c>
      <c r="J3" s="16">
        <f t="shared" ref="J3:J66" ca="1" si="0">IF(ISBLANK(I3),TODAY()-D3,I3-D3)</f>
        <v>398</v>
      </c>
      <c r="K3" s="16" t="str">
        <f t="shared" ref="K3:K8" ca="1" si="1">IF(J3&gt;=H3,"0",IF(I3&lt;&gt;"","100","50"))</f>
        <v>0</v>
      </c>
      <c r="O3" s="13" t="s">
        <v>51</v>
      </c>
      <c r="P3" s="13" t="s">
        <v>738</v>
      </c>
      <c r="R3" s="16" t="s">
        <v>25</v>
      </c>
    </row>
    <row r="4" spans="1:18" x14ac:dyDescent="0.2">
      <c r="A4" s="13" t="s">
        <v>19</v>
      </c>
      <c r="B4" s="13" t="s">
        <v>20</v>
      </c>
      <c r="C4" s="13">
        <v>55949</v>
      </c>
      <c r="D4" s="14">
        <v>45568</v>
      </c>
      <c r="E4" s="13" t="s">
        <v>21</v>
      </c>
      <c r="F4" s="13" t="s">
        <v>22</v>
      </c>
      <c r="G4" s="15">
        <v>4930</v>
      </c>
      <c r="H4" s="16">
        <v>7</v>
      </c>
      <c r="J4" s="16">
        <f t="shared" ca="1" si="0"/>
        <v>397</v>
      </c>
      <c r="K4" s="16" t="str">
        <f t="shared" ca="1" si="1"/>
        <v>0</v>
      </c>
      <c r="O4" s="13" t="s">
        <v>51</v>
      </c>
      <c r="R4" s="16" t="s">
        <v>25</v>
      </c>
    </row>
    <row r="5" spans="1:18" x14ac:dyDescent="0.2">
      <c r="A5" s="13" t="s">
        <v>739</v>
      </c>
      <c r="B5" s="13" t="s">
        <v>26</v>
      </c>
      <c r="C5" s="13" t="s">
        <v>27</v>
      </c>
      <c r="D5" s="14">
        <v>45567</v>
      </c>
      <c r="E5" s="13" t="s">
        <v>28</v>
      </c>
      <c r="F5" s="13" t="s">
        <v>29</v>
      </c>
      <c r="G5" s="15">
        <v>475</v>
      </c>
      <c r="H5" s="16">
        <v>7</v>
      </c>
      <c r="I5" s="14">
        <v>45538</v>
      </c>
      <c r="J5" s="16">
        <f t="shared" ca="1" si="0"/>
        <v>-29</v>
      </c>
      <c r="K5" s="16" t="str">
        <f t="shared" ca="1" si="1"/>
        <v>100</v>
      </c>
      <c r="L5" s="13" t="s">
        <v>30</v>
      </c>
      <c r="M5" s="14" t="s">
        <v>31</v>
      </c>
      <c r="N5" s="14">
        <v>45568</v>
      </c>
      <c r="O5" s="13" t="s">
        <v>24</v>
      </c>
      <c r="P5" s="13" t="s">
        <v>32</v>
      </c>
      <c r="R5" s="16" t="s">
        <v>25</v>
      </c>
    </row>
    <row r="6" spans="1:18" x14ac:dyDescent="0.2">
      <c r="A6" s="13" t="s">
        <v>739</v>
      </c>
      <c r="B6" s="13" t="s">
        <v>26</v>
      </c>
      <c r="C6" s="13" t="s">
        <v>33</v>
      </c>
      <c r="D6" s="14">
        <v>45567</v>
      </c>
      <c r="E6" s="13" t="s">
        <v>34</v>
      </c>
      <c r="F6" s="13" t="s">
        <v>35</v>
      </c>
      <c r="G6" s="15">
        <v>400</v>
      </c>
      <c r="H6" s="16">
        <v>7</v>
      </c>
      <c r="I6" s="14">
        <v>45571</v>
      </c>
      <c r="J6" s="16">
        <f t="shared" ca="1" si="0"/>
        <v>4</v>
      </c>
      <c r="K6" s="16" t="str">
        <f t="shared" ca="1" si="1"/>
        <v>100</v>
      </c>
      <c r="L6" s="13" t="s">
        <v>36</v>
      </c>
      <c r="O6" s="13" t="s">
        <v>51</v>
      </c>
      <c r="R6" s="16" t="s">
        <v>25</v>
      </c>
    </row>
    <row r="7" spans="1:18" x14ac:dyDescent="0.2">
      <c r="A7" s="13" t="s">
        <v>739</v>
      </c>
      <c r="B7" s="13" t="s">
        <v>26</v>
      </c>
      <c r="C7" s="13" t="s">
        <v>38</v>
      </c>
      <c r="D7" s="14">
        <v>45567</v>
      </c>
      <c r="E7" s="13" t="s">
        <v>740</v>
      </c>
      <c r="F7" s="13" t="s">
        <v>40</v>
      </c>
      <c r="G7" s="15">
        <v>6095</v>
      </c>
      <c r="H7" s="16">
        <v>7</v>
      </c>
      <c r="I7" s="14">
        <v>45538</v>
      </c>
      <c r="J7" s="16">
        <f t="shared" ca="1" si="0"/>
        <v>-29</v>
      </c>
      <c r="K7" s="16" t="str">
        <f t="shared" ca="1" si="1"/>
        <v>100</v>
      </c>
      <c r="L7" s="13" t="s">
        <v>41</v>
      </c>
      <c r="M7" s="14" t="s">
        <v>31</v>
      </c>
      <c r="N7" s="14">
        <v>45568</v>
      </c>
      <c r="O7" s="13" t="s">
        <v>24</v>
      </c>
      <c r="P7" s="13" t="s">
        <v>32</v>
      </c>
      <c r="R7" s="16" t="s">
        <v>25</v>
      </c>
    </row>
    <row r="8" spans="1:18" x14ac:dyDescent="0.2">
      <c r="A8" s="13" t="s">
        <v>739</v>
      </c>
      <c r="B8" s="13" t="s">
        <v>26</v>
      </c>
      <c r="C8" s="13" t="s">
        <v>42</v>
      </c>
      <c r="D8" s="14">
        <v>45568</v>
      </c>
      <c r="E8" s="13" t="s">
        <v>43</v>
      </c>
      <c r="F8" s="13" t="s">
        <v>44</v>
      </c>
      <c r="G8" s="15">
        <v>1080</v>
      </c>
      <c r="H8" s="16">
        <v>7</v>
      </c>
      <c r="I8" s="14">
        <v>45568</v>
      </c>
      <c r="J8" s="16">
        <f t="shared" ca="1" si="0"/>
        <v>0</v>
      </c>
      <c r="K8" s="16" t="str">
        <f t="shared" ca="1" si="1"/>
        <v>100</v>
      </c>
      <c r="L8" s="13" t="s">
        <v>45</v>
      </c>
      <c r="M8" s="14" t="s">
        <v>31</v>
      </c>
      <c r="O8" s="13" t="s">
        <v>51</v>
      </c>
      <c r="R8" s="16" t="s">
        <v>25</v>
      </c>
    </row>
    <row r="9" spans="1:18" x14ac:dyDescent="0.2">
      <c r="A9" s="13" t="s">
        <v>46</v>
      </c>
      <c r="B9" s="13" t="s">
        <v>26</v>
      </c>
      <c r="C9" s="13" t="s">
        <v>47</v>
      </c>
      <c r="D9" s="14">
        <v>45561</v>
      </c>
      <c r="E9" s="13" t="s">
        <v>48</v>
      </c>
      <c r="F9" s="13" t="s">
        <v>49</v>
      </c>
      <c r="G9" s="13">
        <v>350000</v>
      </c>
      <c r="H9" s="16">
        <v>15</v>
      </c>
      <c r="I9" s="14">
        <v>45568</v>
      </c>
      <c r="J9" s="16">
        <f t="shared" ca="1" si="0"/>
        <v>7</v>
      </c>
      <c r="K9" s="16" t="str" cm="1">
        <f t="array" aca="1" ref="K9" ca="1">_xlfn.IFS(J9&gt;=H9,"0",J9&lt;H9,"100")</f>
        <v>100</v>
      </c>
      <c r="L9" s="13" t="s">
        <v>50</v>
      </c>
      <c r="O9" s="13" t="s">
        <v>51</v>
      </c>
      <c r="P9" s="13" t="s">
        <v>52</v>
      </c>
      <c r="Q9" s="17">
        <f ca="1">-J9/H9</f>
        <v>-0.46666666666666667</v>
      </c>
      <c r="R9" s="16" t="s">
        <v>25</v>
      </c>
    </row>
    <row r="10" spans="1:18" x14ac:dyDescent="0.2">
      <c r="A10" s="13" t="s">
        <v>479</v>
      </c>
      <c r="B10" s="13" t="s">
        <v>26</v>
      </c>
      <c r="C10" s="13" t="s">
        <v>53</v>
      </c>
      <c r="D10" s="14">
        <v>45571</v>
      </c>
      <c r="E10" s="13" t="s">
        <v>54</v>
      </c>
      <c r="F10" s="13" t="s">
        <v>49</v>
      </c>
      <c r="G10" s="13">
        <v>7750</v>
      </c>
      <c r="H10" s="16">
        <v>7</v>
      </c>
      <c r="I10" s="14">
        <v>45573</v>
      </c>
      <c r="J10" s="16">
        <f t="shared" ca="1" si="0"/>
        <v>2</v>
      </c>
      <c r="K10" s="16" t="str">
        <f ca="1">IF(J10&gt;=H10,"0",IF(I10&lt;&gt;"","100","50"))</f>
        <v>100</v>
      </c>
      <c r="L10" s="13" t="s">
        <v>55</v>
      </c>
      <c r="O10" s="13" t="s">
        <v>51</v>
      </c>
      <c r="R10" s="16" t="s">
        <v>25</v>
      </c>
    </row>
    <row r="11" spans="1:18" x14ac:dyDescent="0.2">
      <c r="A11" s="13" t="s">
        <v>46</v>
      </c>
      <c r="B11" s="13" t="s">
        <v>26</v>
      </c>
      <c r="C11" s="13" t="s">
        <v>47</v>
      </c>
      <c r="D11" s="14">
        <v>45561</v>
      </c>
      <c r="E11" s="13" t="s">
        <v>56</v>
      </c>
      <c r="F11" s="13" t="s">
        <v>49</v>
      </c>
      <c r="G11" s="13">
        <v>200000</v>
      </c>
      <c r="H11" s="16">
        <v>15</v>
      </c>
      <c r="J11" s="16">
        <f t="shared" ca="1" si="0"/>
        <v>404</v>
      </c>
      <c r="K11" s="16" t="str" cm="1">
        <f t="array" aca="1" ref="K11" ca="1">_xlfn.IFS(J11&gt;=H11,"0",J11&lt;H11,"100")</f>
        <v>0</v>
      </c>
      <c r="L11" s="13" t="s">
        <v>57</v>
      </c>
      <c r="O11" s="13" t="s">
        <v>51</v>
      </c>
      <c r="P11" s="13" t="s">
        <v>52</v>
      </c>
      <c r="Q11" s="17">
        <f ca="1">-J11/H11</f>
        <v>-26.933333333333334</v>
      </c>
      <c r="R11" s="16" t="s">
        <v>25</v>
      </c>
    </row>
    <row r="12" spans="1:18" x14ac:dyDescent="0.2">
      <c r="A12" s="13" t="s">
        <v>479</v>
      </c>
      <c r="B12" s="13" t="s">
        <v>26</v>
      </c>
      <c r="C12" s="13" t="s">
        <v>58</v>
      </c>
      <c r="D12" s="14">
        <v>45571</v>
      </c>
      <c r="E12" s="13" t="s">
        <v>59</v>
      </c>
      <c r="F12" s="13" t="s">
        <v>60</v>
      </c>
      <c r="G12" s="13">
        <v>2000</v>
      </c>
      <c r="H12" s="16">
        <v>7</v>
      </c>
      <c r="I12" s="14">
        <v>45573</v>
      </c>
      <c r="J12" s="16">
        <f t="shared" ca="1" si="0"/>
        <v>2</v>
      </c>
      <c r="K12" s="16" t="str">
        <f ca="1">IF(J12&gt;=H12,"0",IF(I12&lt;&gt;"","100","50"))</f>
        <v>100</v>
      </c>
      <c r="L12" s="13" t="s">
        <v>61</v>
      </c>
      <c r="O12" s="13" t="s">
        <v>51</v>
      </c>
    </row>
    <row r="13" spans="1:18" x14ac:dyDescent="0.2">
      <c r="A13" s="13" t="s">
        <v>46</v>
      </c>
      <c r="B13" s="13" t="s">
        <v>26</v>
      </c>
      <c r="C13" s="13" t="s">
        <v>62</v>
      </c>
      <c r="D13" s="14">
        <v>45561</v>
      </c>
      <c r="E13" s="13" t="s">
        <v>63</v>
      </c>
      <c r="F13" s="13" t="s">
        <v>49</v>
      </c>
      <c r="G13" s="13">
        <v>298500</v>
      </c>
      <c r="H13" s="16">
        <v>15</v>
      </c>
      <c r="J13" s="16">
        <f t="shared" ca="1" si="0"/>
        <v>404</v>
      </c>
      <c r="K13" s="16" t="str" cm="1">
        <f t="array" aca="1" ref="K13" ca="1">_xlfn.IFS(J13&gt;=H13,"0",J13&lt;H13,"100")</f>
        <v>0</v>
      </c>
      <c r="L13" s="13" t="s">
        <v>64</v>
      </c>
      <c r="O13" s="13" t="s">
        <v>51</v>
      </c>
      <c r="Q13" s="17">
        <f ca="1">-J13/H13</f>
        <v>-26.933333333333334</v>
      </c>
    </row>
    <row r="14" spans="1:18" x14ac:dyDescent="0.2">
      <c r="A14" s="13" t="s">
        <v>479</v>
      </c>
      <c r="B14" s="13" t="s">
        <v>26</v>
      </c>
      <c r="C14" s="13" t="s">
        <v>65</v>
      </c>
      <c r="D14" s="14">
        <v>45571</v>
      </c>
      <c r="E14" s="13" t="s">
        <v>66</v>
      </c>
      <c r="F14" s="13" t="s">
        <v>67</v>
      </c>
      <c r="G14" s="18">
        <v>801</v>
      </c>
      <c r="H14" s="16">
        <v>7</v>
      </c>
      <c r="I14" s="14">
        <v>45573</v>
      </c>
      <c r="J14" s="16">
        <f t="shared" ca="1" si="0"/>
        <v>2</v>
      </c>
      <c r="K14" s="16" t="str">
        <f ca="1">IF(J14&gt;=H14,"0",IF(I14&lt;&gt;"","100","50"))</f>
        <v>100</v>
      </c>
      <c r="L14" s="13" t="s">
        <v>68</v>
      </c>
      <c r="O14" s="13" t="s">
        <v>51</v>
      </c>
    </row>
    <row r="15" spans="1:18" x14ac:dyDescent="0.2">
      <c r="A15" s="13" t="s">
        <v>46</v>
      </c>
      <c r="B15" s="13" t="s">
        <v>26</v>
      </c>
      <c r="C15" s="13" t="s">
        <v>69</v>
      </c>
      <c r="D15" s="14">
        <v>45552</v>
      </c>
      <c r="E15" s="13" t="s">
        <v>70</v>
      </c>
      <c r="F15" s="13" t="s">
        <v>71</v>
      </c>
      <c r="G15" s="13">
        <v>266760</v>
      </c>
      <c r="H15" s="16">
        <v>15</v>
      </c>
      <c r="I15" s="14">
        <v>45572</v>
      </c>
      <c r="J15" s="16">
        <f t="shared" ca="1" si="0"/>
        <v>20</v>
      </c>
      <c r="K15" s="16" t="str" cm="1">
        <f t="array" aca="1" ref="K15" ca="1">_xlfn.IFS(J15&gt;=H15,"0",J15&lt;H15,"100")</f>
        <v>0</v>
      </c>
      <c r="L15" s="13" t="s">
        <v>72</v>
      </c>
      <c r="O15" s="13" t="s">
        <v>51</v>
      </c>
      <c r="Q15" s="17">
        <f ca="1">-J15/H15</f>
        <v>-1.3333333333333333</v>
      </c>
    </row>
    <row r="16" spans="1:18" x14ac:dyDescent="0.2">
      <c r="A16" s="13" t="s">
        <v>73</v>
      </c>
      <c r="B16" s="13" t="s">
        <v>26</v>
      </c>
      <c r="C16" s="13" t="s">
        <v>74</v>
      </c>
      <c r="D16" s="14">
        <v>45554</v>
      </c>
      <c r="E16" s="13" t="s">
        <v>75</v>
      </c>
      <c r="F16" s="13" t="s">
        <v>20</v>
      </c>
      <c r="G16" s="13" t="s">
        <v>76</v>
      </c>
      <c r="H16" s="16">
        <v>7</v>
      </c>
      <c r="I16" s="14">
        <v>45568</v>
      </c>
      <c r="J16" s="16">
        <f t="shared" ca="1" si="0"/>
        <v>14</v>
      </c>
      <c r="K16" s="16" t="str" cm="1">
        <f t="array" aca="1" ref="K16" ca="1">_xlfn.IFS(J16&gt;=H16,"0",J16&lt;H16,"100")</f>
        <v>0</v>
      </c>
      <c r="M16" s="14">
        <v>45361</v>
      </c>
      <c r="N16" s="14">
        <v>45361</v>
      </c>
      <c r="O16" s="13" t="s">
        <v>51</v>
      </c>
      <c r="Q16" s="17">
        <f ca="1">-J16/H16</f>
        <v>-2</v>
      </c>
    </row>
    <row r="17" spans="1:17" x14ac:dyDescent="0.2">
      <c r="A17" s="13" t="s">
        <v>73</v>
      </c>
      <c r="B17" s="13" t="s">
        <v>26</v>
      </c>
      <c r="C17" s="13" t="s">
        <v>77</v>
      </c>
      <c r="D17" s="14">
        <v>45564</v>
      </c>
      <c r="E17" s="13" t="s">
        <v>78</v>
      </c>
      <c r="F17" s="13" t="s">
        <v>79</v>
      </c>
      <c r="G17" s="13" t="s">
        <v>80</v>
      </c>
      <c r="H17" s="16">
        <v>7</v>
      </c>
      <c r="I17" s="14">
        <v>45568</v>
      </c>
      <c r="J17" s="16">
        <f t="shared" ca="1" si="0"/>
        <v>4</v>
      </c>
      <c r="K17" s="16" t="str" cm="1">
        <f t="array" aca="1" ref="K17" ca="1">_xlfn.IFS(J17&gt;=H17,"0",J17&lt;H17,"100")</f>
        <v>100</v>
      </c>
      <c r="M17" s="14">
        <v>45361</v>
      </c>
      <c r="N17" s="14">
        <v>45361</v>
      </c>
      <c r="O17" s="13" t="s">
        <v>51</v>
      </c>
      <c r="Q17" s="17">
        <f ca="1">-J17/H17</f>
        <v>-0.5714285714285714</v>
      </c>
    </row>
    <row r="18" spans="1:17" x14ac:dyDescent="0.2">
      <c r="A18" s="13" t="s">
        <v>73</v>
      </c>
      <c r="B18" s="13" t="s">
        <v>26</v>
      </c>
      <c r="C18" s="13" t="s">
        <v>81</v>
      </c>
      <c r="D18" s="14">
        <v>45564</v>
      </c>
      <c r="E18" s="13" t="s">
        <v>78</v>
      </c>
      <c r="F18" s="13" t="s">
        <v>82</v>
      </c>
      <c r="G18" s="13" t="s">
        <v>83</v>
      </c>
      <c r="H18" s="16">
        <v>7</v>
      </c>
      <c r="I18" s="14">
        <v>45568</v>
      </c>
      <c r="J18" s="16">
        <f t="shared" ca="1" si="0"/>
        <v>4</v>
      </c>
      <c r="K18" s="16" t="str" cm="1">
        <f t="array" aca="1" ref="K18" ca="1">_xlfn.IFS(J18&gt;=H18,"0",J18&lt;H18,"100")</f>
        <v>100</v>
      </c>
      <c r="M18" s="14">
        <v>45361</v>
      </c>
      <c r="N18" s="14">
        <v>45361</v>
      </c>
      <c r="O18" s="13" t="s">
        <v>51</v>
      </c>
      <c r="Q18" s="17">
        <f ca="1">-J18/H18</f>
        <v>-0.5714285714285714</v>
      </c>
    </row>
    <row r="19" spans="1:17" x14ac:dyDescent="0.2">
      <c r="A19" s="13" t="s">
        <v>73</v>
      </c>
      <c r="B19" s="13" t="s">
        <v>26</v>
      </c>
      <c r="C19" s="13" t="s">
        <v>84</v>
      </c>
      <c r="D19" s="14">
        <v>45568</v>
      </c>
      <c r="E19" s="13" t="s">
        <v>85</v>
      </c>
      <c r="F19" s="13" t="s">
        <v>86</v>
      </c>
      <c r="G19" s="13" t="s">
        <v>87</v>
      </c>
      <c r="H19" s="16">
        <v>7</v>
      </c>
      <c r="I19" s="14">
        <v>45568</v>
      </c>
      <c r="J19" s="16">
        <f t="shared" ca="1" si="0"/>
        <v>0</v>
      </c>
      <c r="K19" s="16" t="str">
        <f ca="1">IF(J19&gt;=H19,"0",IF(I19&lt;&gt;"","100","50"))</f>
        <v>100</v>
      </c>
      <c r="M19" s="14">
        <v>45361</v>
      </c>
      <c r="N19" s="14">
        <v>45570</v>
      </c>
      <c r="O19" s="13" t="s">
        <v>24</v>
      </c>
    </row>
    <row r="20" spans="1:17" x14ac:dyDescent="0.2">
      <c r="A20" s="13" t="s">
        <v>73</v>
      </c>
      <c r="B20" s="13" t="s">
        <v>26</v>
      </c>
      <c r="C20" s="13" t="s">
        <v>88</v>
      </c>
      <c r="D20" s="14">
        <v>45568</v>
      </c>
      <c r="E20" s="13" t="s">
        <v>85</v>
      </c>
      <c r="F20" s="13" t="s">
        <v>86</v>
      </c>
      <c r="G20" s="13">
        <v>191</v>
      </c>
      <c r="H20" s="16">
        <v>7</v>
      </c>
      <c r="I20" s="14">
        <v>45568</v>
      </c>
      <c r="J20" s="16">
        <f t="shared" ca="1" si="0"/>
        <v>0</v>
      </c>
      <c r="K20" s="16" t="str">
        <f ca="1">IF(J20&gt;=H20,"0",IF(I20&lt;&gt;"","100","50"))</f>
        <v>100</v>
      </c>
      <c r="M20" s="14">
        <v>45361</v>
      </c>
      <c r="N20" s="14">
        <v>45570</v>
      </c>
      <c r="O20" s="13" t="s">
        <v>24</v>
      </c>
    </row>
    <row r="21" spans="1:17" x14ac:dyDescent="0.2">
      <c r="A21" s="13" t="s">
        <v>73</v>
      </c>
      <c r="B21" s="13" t="s">
        <v>26</v>
      </c>
      <c r="C21" s="13" t="s">
        <v>89</v>
      </c>
      <c r="D21" s="14">
        <v>45525</v>
      </c>
      <c r="E21" s="13" t="s">
        <v>90</v>
      </c>
      <c r="F21" s="13" t="s">
        <v>91</v>
      </c>
      <c r="G21" s="13" t="s">
        <v>92</v>
      </c>
      <c r="H21" s="16">
        <v>7</v>
      </c>
      <c r="I21" s="14">
        <v>45572</v>
      </c>
      <c r="J21" s="16">
        <f t="shared" ca="1" si="0"/>
        <v>47</v>
      </c>
      <c r="K21" s="16" t="str" cm="1">
        <f t="array" aca="1" ref="K21" ca="1">_xlfn.IFS(J21&gt;=H21,"0",J21&lt;H21,"100")</f>
        <v>0</v>
      </c>
      <c r="M21" s="14">
        <v>45514</v>
      </c>
      <c r="N21" s="14">
        <v>45514</v>
      </c>
      <c r="O21" s="13" t="s">
        <v>51</v>
      </c>
      <c r="Q21" s="17">
        <f t="shared" ref="Q21:Q26" ca="1" si="2">-J21/H21</f>
        <v>-6.7142857142857144</v>
      </c>
    </row>
    <row r="22" spans="1:17" x14ac:dyDescent="0.2">
      <c r="A22" s="13" t="s">
        <v>73</v>
      </c>
      <c r="B22" s="13" t="s">
        <v>26</v>
      </c>
      <c r="C22" s="13" t="s">
        <v>93</v>
      </c>
      <c r="D22" s="14">
        <v>45550</v>
      </c>
      <c r="E22" s="13" t="s">
        <v>94</v>
      </c>
      <c r="F22" s="13" t="s">
        <v>95</v>
      </c>
      <c r="G22" s="13" t="s">
        <v>96</v>
      </c>
      <c r="H22" s="16">
        <v>7</v>
      </c>
      <c r="I22" s="14">
        <v>45572</v>
      </c>
      <c r="J22" s="16">
        <f t="shared" ca="1" si="0"/>
        <v>22</v>
      </c>
      <c r="K22" s="16" t="str" cm="1">
        <f t="array" aca="1" ref="K22" ca="1">_xlfn.IFS(J22&gt;=H22,"0",J22&lt;H22,"100")</f>
        <v>0</v>
      </c>
      <c r="M22" s="14">
        <v>45483</v>
      </c>
      <c r="N22" s="14">
        <v>45545</v>
      </c>
      <c r="O22" s="13" t="s">
        <v>51</v>
      </c>
      <c r="Q22" s="17">
        <f t="shared" ca="1" si="2"/>
        <v>-3.1428571428571428</v>
      </c>
    </row>
    <row r="23" spans="1:17" x14ac:dyDescent="0.2">
      <c r="A23" s="13" t="s">
        <v>73</v>
      </c>
      <c r="B23" s="13" t="s">
        <v>26</v>
      </c>
      <c r="C23" s="13" t="s">
        <v>97</v>
      </c>
      <c r="D23" s="14">
        <v>45519</v>
      </c>
      <c r="E23" s="13" t="s">
        <v>94</v>
      </c>
      <c r="F23" s="13" t="s">
        <v>98</v>
      </c>
      <c r="G23" s="13" t="s">
        <v>99</v>
      </c>
      <c r="H23" s="16">
        <v>7</v>
      </c>
      <c r="I23" s="14">
        <v>45572</v>
      </c>
      <c r="J23" s="16">
        <f t="shared" ca="1" si="0"/>
        <v>53</v>
      </c>
      <c r="K23" s="16" t="str" cm="1">
        <f t="array" aca="1" ref="K23" ca="1">_xlfn.IFS(J23&gt;=H23,"0",J23&lt;H23,"100")</f>
        <v>0</v>
      </c>
      <c r="M23" s="14">
        <v>45483</v>
      </c>
      <c r="N23" s="14">
        <v>45545</v>
      </c>
      <c r="O23" s="13" t="s">
        <v>51</v>
      </c>
      <c r="Q23" s="17">
        <f t="shared" ca="1" si="2"/>
        <v>-7.5714285714285712</v>
      </c>
    </row>
    <row r="24" spans="1:17" x14ac:dyDescent="0.2">
      <c r="A24" s="13" t="s">
        <v>100</v>
      </c>
      <c r="B24" s="13" t="s">
        <v>26</v>
      </c>
      <c r="C24" s="13" t="s">
        <v>101</v>
      </c>
      <c r="D24" s="14">
        <v>45550</v>
      </c>
      <c r="E24" s="13" t="s">
        <v>102</v>
      </c>
      <c r="F24" s="13" t="s">
        <v>103</v>
      </c>
      <c r="G24" s="13" t="s">
        <v>104</v>
      </c>
      <c r="H24" s="16">
        <v>7</v>
      </c>
      <c r="I24" s="14">
        <v>45550</v>
      </c>
      <c r="J24" s="16">
        <f t="shared" ca="1" si="0"/>
        <v>0</v>
      </c>
      <c r="K24" s="16" t="str" cm="1">
        <f t="array" aca="1" ref="K24" ca="1">_xlfn.IFS(J24&gt;=H24,"0",J24&lt;H24,"100")</f>
        <v>100</v>
      </c>
      <c r="M24" s="14">
        <v>45483</v>
      </c>
      <c r="N24" s="14">
        <v>45545</v>
      </c>
      <c r="O24" s="13" t="s">
        <v>51</v>
      </c>
      <c r="Q24" s="17">
        <f t="shared" ca="1" si="2"/>
        <v>0</v>
      </c>
    </row>
    <row r="25" spans="1:17" x14ac:dyDescent="0.2">
      <c r="A25" s="13" t="s">
        <v>105</v>
      </c>
      <c r="B25" s="13" t="s">
        <v>79</v>
      </c>
      <c r="C25" s="13">
        <v>101487</v>
      </c>
      <c r="D25" s="14">
        <v>45553</v>
      </c>
      <c r="E25" s="13" t="s">
        <v>106</v>
      </c>
      <c r="F25" s="13" t="s">
        <v>107</v>
      </c>
      <c r="G25" s="15">
        <v>3474.15</v>
      </c>
      <c r="H25" s="16">
        <v>7</v>
      </c>
      <c r="I25" s="14" t="s">
        <v>108</v>
      </c>
      <c r="J25" s="16">
        <f t="shared" ca="1" si="0"/>
        <v>0</v>
      </c>
      <c r="K25" s="16" t="str" cm="1">
        <f t="array" aca="1" ref="K25" ca="1">_xlfn.IFS(J25&gt;=H25,"0",J25&lt;H25,"100")</f>
        <v>100</v>
      </c>
      <c r="M25" s="14" t="s">
        <v>109</v>
      </c>
      <c r="N25" s="14">
        <v>45453</v>
      </c>
      <c r="O25" s="13" t="s">
        <v>24</v>
      </c>
      <c r="Q25" s="17">
        <f t="shared" ca="1" si="2"/>
        <v>0</v>
      </c>
    </row>
    <row r="26" spans="1:17" x14ac:dyDescent="0.2">
      <c r="A26" s="13" t="s">
        <v>100</v>
      </c>
      <c r="B26" s="13" t="s">
        <v>26</v>
      </c>
      <c r="C26" s="13" t="s">
        <v>110</v>
      </c>
      <c r="D26" s="14">
        <v>45560</v>
      </c>
      <c r="E26" s="13" t="s">
        <v>94</v>
      </c>
      <c r="F26" s="13" t="s">
        <v>111</v>
      </c>
      <c r="G26" s="13" t="s">
        <v>96</v>
      </c>
      <c r="H26" s="16">
        <v>7</v>
      </c>
      <c r="I26" s="14">
        <v>45572</v>
      </c>
      <c r="J26" s="16">
        <f t="shared" ca="1" si="0"/>
        <v>12</v>
      </c>
      <c r="K26" s="16" t="str" cm="1">
        <f t="array" aca="1" ref="K26" ca="1">_xlfn.IFS(J26&gt;=H26,"0",J26&lt;H26,"100")</f>
        <v>0</v>
      </c>
      <c r="M26" s="14">
        <v>45483</v>
      </c>
      <c r="N26" s="14">
        <v>45545</v>
      </c>
      <c r="O26" s="13" t="s">
        <v>51</v>
      </c>
      <c r="Q26" s="17">
        <f t="shared" ca="1" si="2"/>
        <v>-1.7142857142857142</v>
      </c>
    </row>
    <row r="27" spans="1:17" x14ac:dyDescent="0.2">
      <c r="A27" s="13" t="s">
        <v>73</v>
      </c>
      <c r="B27" s="13" t="s">
        <v>26</v>
      </c>
      <c r="C27" s="13" t="s">
        <v>113</v>
      </c>
      <c r="D27" s="14">
        <v>45567</v>
      </c>
      <c r="E27" s="13" t="s">
        <v>114</v>
      </c>
      <c r="F27" s="13" t="s">
        <v>91</v>
      </c>
      <c r="G27" s="13">
        <v>1200</v>
      </c>
      <c r="H27" s="16">
        <v>7</v>
      </c>
      <c r="I27" s="14">
        <v>45567</v>
      </c>
      <c r="J27" s="16">
        <f t="shared" ca="1" si="0"/>
        <v>0</v>
      </c>
      <c r="K27" s="16" t="str">
        <f ca="1">IF(J27&gt;=H27,"0",IF(I27&lt;&gt;"","100","50"))</f>
        <v>100</v>
      </c>
      <c r="M27" s="14" t="s">
        <v>115</v>
      </c>
      <c r="N27" s="14">
        <v>45570</v>
      </c>
      <c r="O27" s="13" t="s">
        <v>24</v>
      </c>
    </row>
    <row r="28" spans="1:17" x14ac:dyDescent="0.2">
      <c r="A28" s="13" t="s">
        <v>112</v>
      </c>
      <c r="B28" s="13" t="s">
        <v>26</v>
      </c>
      <c r="C28" s="13" t="s">
        <v>116</v>
      </c>
      <c r="D28" s="14">
        <v>45552</v>
      </c>
      <c r="E28" s="13" t="s">
        <v>117</v>
      </c>
      <c r="F28" s="13" t="s">
        <v>118</v>
      </c>
      <c r="G28" s="13" t="s">
        <v>119</v>
      </c>
      <c r="H28" s="16">
        <v>7</v>
      </c>
      <c r="I28" s="14">
        <v>45572</v>
      </c>
      <c r="J28" s="16">
        <f t="shared" ca="1" si="0"/>
        <v>20</v>
      </c>
      <c r="K28" s="16" t="str" cm="1">
        <f t="array" aca="1" ref="K28" ca="1">_xlfn.IFS(J28&gt;=H28,"0",J28&lt;H28,"100")</f>
        <v>0</v>
      </c>
      <c r="M28" s="14">
        <v>45483</v>
      </c>
      <c r="N28" s="14">
        <v>45575</v>
      </c>
      <c r="O28" s="13" t="s">
        <v>51</v>
      </c>
      <c r="Q28" s="17">
        <f t="shared" ref="Q28:Q34" ca="1" si="3">-J28/H28</f>
        <v>-2.8571428571428572</v>
      </c>
    </row>
    <row r="29" spans="1:17" x14ac:dyDescent="0.2">
      <c r="A29" s="13" t="s">
        <v>112</v>
      </c>
      <c r="B29" s="13" t="s">
        <v>26</v>
      </c>
      <c r="C29" s="13" t="s">
        <v>120</v>
      </c>
      <c r="D29" s="14">
        <v>45552</v>
      </c>
      <c r="E29" s="13" t="s">
        <v>121</v>
      </c>
      <c r="F29" s="13" t="s">
        <v>122</v>
      </c>
      <c r="G29" s="13">
        <v>500</v>
      </c>
      <c r="H29" s="16">
        <v>7</v>
      </c>
      <c r="I29" s="14">
        <v>45572</v>
      </c>
      <c r="J29" s="16">
        <f t="shared" ca="1" si="0"/>
        <v>20</v>
      </c>
      <c r="K29" s="16" t="str" cm="1">
        <f t="array" aca="1" ref="K29" ca="1">_xlfn.IFS(J29&gt;=H29,"0",J29&lt;H29,"100")</f>
        <v>0</v>
      </c>
      <c r="M29" s="14">
        <v>45483</v>
      </c>
      <c r="O29" s="13" t="s">
        <v>51</v>
      </c>
      <c r="Q29" s="17">
        <f t="shared" ca="1" si="3"/>
        <v>-2.8571428571428572</v>
      </c>
    </row>
    <row r="30" spans="1:17" x14ac:dyDescent="0.2">
      <c r="A30" s="13" t="s">
        <v>105</v>
      </c>
      <c r="B30" s="13" t="s">
        <v>79</v>
      </c>
      <c r="C30" s="13" t="s">
        <v>123</v>
      </c>
      <c r="D30" s="14">
        <v>45559</v>
      </c>
      <c r="E30" s="13" t="s">
        <v>124</v>
      </c>
      <c r="F30" s="13" t="s">
        <v>125</v>
      </c>
      <c r="G30" s="15">
        <v>1150</v>
      </c>
      <c r="H30" s="16">
        <v>7</v>
      </c>
      <c r="I30" s="14" t="s">
        <v>126</v>
      </c>
      <c r="J30" s="16">
        <f t="shared" ca="1" si="0"/>
        <v>0</v>
      </c>
      <c r="K30" s="16" t="str" cm="1">
        <f t="array" aca="1" ref="K30" ca="1">_xlfn.IFS(J30&gt;=H30,"0",J30&lt;H30,"100")</f>
        <v>100</v>
      </c>
      <c r="O30" s="13" t="s">
        <v>24</v>
      </c>
      <c r="Q30" s="17">
        <f t="shared" ca="1" si="3"/>
        <v>0</v>
      </c>
    </row>
    <row r="31" spans="1:17" x14ac:dyDescent="0.2">
      <c r="A31" s="13" t="s">
        <v>105</v>
      </c>
      <c r="B31" s="13" t="s">
        <v>79</v>
      </c>
      <c r="C31" s="13">
        <v>101686</v>
      </c>
      <c r="D31" s="14">
        <v>45532</v>
      </c>
      <c r="E31" s="13" t="s">
        <v>106</v>
      </c>
      <c r="F31" s="13" t="s">
        <v>127</v>
      </c>
      <c r="G31" s="15">
        <v>7300.23</v>
      </c>
      <c r="H31" s="16">
        <v>7</v>
      </c>
      <c r="I31" s="14" t="s">
        <v>109</v>
      </c>
      <c r="J31" s="16">
        <f t="shared" ca="1" si="0"/>
        <v>28</v>
      </c>
      <c r="K31" s="16" t="str" cm="1">
        <f t="array" aca="1" ref="K31" ca="1">_xlfn.IFS(J31&gt;=H31,"0",J31&lt;H31,"100")</f>
        <v>0</v>
      </c>
      <c r="L31" s="13">
        <v>101686</v>
      </c>
      <c r="M31" s="14" t="s">
        <v>128</v>
      </c>
      <c r="N31" s="14">
        <v>45483</v>
      </c>
      <c r="O31" s="13" t="s">
        <v>24</v>
      </c>
      <c r="Q31" s="17">
        <f t="shared" ca="1" si="3"/>
        <v>-4</v>
      </c>
    </row>
    <row r="32" spans="1:17" x14ac:dyDescent="0.2">
      <c r="A32" s="13" t="s">
        <v>105</v>
      </c>
      <c r="B32" s="13" t="s">
        <v>79</v>
      </c>
      <c r="C32" s="13">
        <v>101653</v>
      </c>
      <c r="D32" s="14">
        <v>45532</v>
      </c>
      <c r="E32" s="13" t="s">
        <v>129</v>
      </c>
      <c r="F32" s="13" t="s">
        <v>130</v>
      </c>
      <c r="G32" s="15">
        <v>156975</v>
      </c>
      <c r="H32" s="16">
        <v>10</v>
      </c>
      <c r="I32" s="14" t="s">
        <v>131</v>
      </c>
      <c r="J32" s="16">
        <f t="shared" ca="1" si="0"/>
        <v>25</v>
      </c>
      <c r="K32" s="16" t="str" cm="1">
        <f t="array" aca="1" ref="K32" ca="1">_xlfn.IFS(J32&gt;=H32,"0",J32&lt;H32,"100")</f>
        <v>0</v>
      </c>
      <c r="L32" s="13">
        <v>101653</v>
      </c>
      <c r="M32" s="14">
        <v>45301</v>
      </c>
      <c r="N32" s="14">
        <v>45332</v>
      </c>
      <c r="O32" s="13" t="s">
        <v>24</v>
      </c>
      <c r="Q32" s="17">
        <f t="shared" ca="1" si="3"/>
        <v>-2.5</v>
      </c>
    </row>
    <row r="33" spans="1:17" x14ac:dyDescent="0.2">
      <c r="A33" s="13" t="s">
        <v>105</v>
      </c>
      <c r="B33" s="13" t="s">
        <v>79</v>
      </c>
      <c r="C33" s="13">
        <v>101414</v>
      </c>
      <c r="D33" s="14">
        <v>45549</v>
      </c>
      <c r="E33" s="13" t="s">
        <v>106</v>
      </c>
      <c r="F33" s="13" t="s">
        <v>132</v>
      </c>
      <c r="G33" s="15">
        <v>828</v>
      </c>
      <c r="H33" s="16">
        <v>7</v>
      </c>
      <c r="I33" s="14" t="s">
        <v>133</v>
      </c>
      <c r="J33" s="16">
        <f t="shared" ca="1" si="0"/>
        <v>2</v>
      </c>
      <c r="K33" s="16" t="str" cm="1">
        <f t="array" aca="1" ref="K33" ca="1">_xlfn.IFS(J33&gt;=H33,"0",J33&lt;H33,"100")</f>
        <v>100</v>
      </c>
      <c r="L33" s="13">
        <v>101414</v>
      </c>
      <c r="M33" s="14" t="s">
        <v>109</v>
      </c>
      <c r="N33" s="14" t="s">
        <v>134</v>
      </c>
      <c r="O33" s="13" t="s">
        <v>24</v>
      </c>
      <c r="Q33" s="17">
        <f t="shared" ca="1" si="3"/>
        <v>-0.2857142857142857</v>
      </c>
    </row>
    <row r="34" spans="1:17" x14ac:dyDescent="0.2">
      <c r="A34" s="13" t="s">
        <v>105</v>
      </c>
      <c r="B34" s="13" t="s">
        <v>79</v>
      </c>
      <c r="C34" s="13">
        <v>101172</v>
      </c>
      <c r="D34" s="14">
        <v>45513</v>
      </c>
      <c r="E34" s="13" t="s">
        <v>106</v>
      </c>
      <c r="F34" s="13" t="s">
        <v>135</v>
      </c>
      <c r="G34" s="15">
        <v>4191.75</v>
      </c>
      <c r="H34" s="16">
        <v>7</v>
      </c>
      <c r="I34" s="14">
        <v>45513</v>
      </c>
      <c r="J34" s="16">
        <f t="shared" ca="1" si="0"/>
        <v>0</v>
      </c>
      <c r="K34" s="16" t="str" cm="1">
        <f t="array" aca="1" ref="K34" ca="1">_xlfn.IFS(J34&gt;=H34,"0",J34&lt;H34,"100")</f>
        <v>100</v>
      </c>
      <c r="L34" s="13">
        <v>101172</v>
      </c>
      <c r="M34" s="14">
        <v>45635</v>
      </c>
      <c r="N34" s="14">
        <v>45332</v>
      </c>
      <c r="O34" s="13" t="s">
        <v>24</v>
      </c>
      <c r="Q34" s="17">
        <f t="shared" ca="1" si="3"/>
        <v>0</v>
      </c>
    </row>
    <row r="35" spans="1:17" x14ac:dyDescent="0.2">
      <c r="A35" s="13" t="s">
        <v>136</v>
      </c>
      <c r="B35" s="13" t="s">
        <v>20</v>
      </c>
      <c r="C35" s="13">
        <v>55894</v>
      </c>
      <c r="D35" s="14">
        <v>45566</v>
      </c>
      <c r="E35" s="13" t="s">
        <v>137</v>
      </c>
      <c r="F35" s="13" t="s">
        <v>138</v>
      </c>
      <c r="G35" s="19">
        <v>2265.5</v>
      </c>
      <c r="H35" s="20">
        <v>7</v>
      </c>
      <c r="I35" s="14">
        <v>45572</v>
      </c>
      <c r="J35" s="16">
        <f t="shared" ca="1" si="0"/>
        <v>6</v>
      </c>
      <c r="K35" s="16" t="str" cm="1">
        <f t="array" aca="1" ref="K35" ca="1">_xlfn.IFS(J35&gt;=H35,"0",J35&lt;H35,"100")</f>
        <v>100</v>
      </c>
      <c r="L35" s="13" t="s">
        <v>139</v>
      </c>
      <c r="O35" s="13" t="s">
        <v>51</v>
      </c>
      <c r="P35" s="13" t="s">
        <v>741</v>
      </c>
    </row>
    <row r="36" spans="1:17" x14ac:dyDescent="0.2">
      <c r="A36" s="13" t="s">
        <v>136</v>
      </c>
      <c r="B36" s="13" t="s">
        <v>20</v>
      </c>
      <c r="C36" s="13">
        <v>55928</v>
      </c>
      <c r="D36" s="14">
        <v>45567</v>
      </c>
      <c r="E36" s="13" t="s">
        <v>733</v>
      </c>
      <c r="F36" s="13" t="s">
        <v>742</v>
      </c>
      <c r="G36" s="15">
        <v>13900</v>
      </c>
      <c r="H36" s="16">
        <v>7</v>
      </c>
      <c r="J36" s="16">
        <f t="shared" ca="1" si="0"/>
        <v>398</v>
      </c>
      <c r="K36" s="16" t="str">
        <f ca="1">IF(J36&gt;=H36,"0",IF(I36&lt;&gt;"","100","50"))</f>
        <v>0</v>
      </c>
      <c r="O36" s="13" t="s">
        <v>51</v>
      </c>
      <c r="P36" s="13" t="s">
        <v>735</v>
      </c>
    </row>
    <row r="37" spans="1:17" x14ac:dyDescent="0.2">
      <c r="A37" s="13" t="s">
        <v>140</v>
      </c>
      <c r="B37" s="13" t="s">
        <v>79</v>
      </c>
      <c r="C37" s="13" t="s">
        <v>141</v>
      </c>
      <c r="D37" s="14">
        <v>45567</v>
      </c>
      <c r="E37" s="13" t="s">
        <v>142</v>
      </c>
      <c r="F37" s="13" t="s">
        <v>143</v>
      </c>
      <c r="G37" s="15">
        <v>96600</v>
      </c>
      <c r="H37" s="16">
        <v>7</v>
      </c>
      <c r="I37" s="14">
        <v>45573</v>
      </c>
      <c r="J37" s="16">
        <f t="shared" ca="1" si="0"/>
        <v>6</v>
      </c>
      <c r="K37" s="16" t="str">
        <f ca="1">IF(J37&gt;=H37,"0",IF(I37&lt;&gt;"","100","50"))</f>
        <v>100</v>
      </c>
      <c r="O37" s="13" t="s">
        <v>51</v>
      </c>
    </row>
    <row r="38" spans="1:17" x14ac:dyDescent="0.2">
      <c r="A38" s="13" t="s">
        <v>140</v>
      </c>
      <c r="B38" s="13" t="s">
        <v>79</v>
      </c>
      <c r="C38" s="13" t="s">
        <v>743</v>
      </c>
      <c r="D38" s="14">
        <v>45567</v>
      </c>
      <c r="E38" s="13" t="s">
        <v>744</v>
      </c>
      <c r="F38" s="13" t="s">
        <v>146</v>
      </c>
      <c r="G38" s="15">
        <v>150000</v>
      </c>
      <c r="H38" s="16">
        <v>15</v>
      </c>
      <c r="J38" s="16">
        <f t="shared" ca="1" si="0"/>
        <v>398</v>
      </c>
      <c r="K38" s="16" t="str">
        <f ca="1">IF(J38&gt;=H38,"0",IF(I38&lt;&gt;"","100","50"))</f>
        <v>0</v>
      </c>
      <c r="O38" s="13" t="s">
        <v>51</v>
      </c>
    </row>
    <row r="39" spans="1:17" x14ac:dyDescent="0.2">
      <c r="A39" s="13" t="s">
        <v>140</v>
      </c>
      <c r="B39" s="13" t="s">
        <v>79</v>
      </c>
      <c r="C39" s="13" t="s">
        <v>148</v>
      </c>
      <c r="D39" s="14">
        <v>45567</v>
      </c>
      <c r="E39" s="13" t="s">
        <v>149</v>
      </c>
      <c r="F39" s="13" t="s">
        <v>146</v>
      </c>
      <c r="G39" s="15">
        <v>3000</v>
      </c>
      <c r="H39" s="22">
        <v>7</v>
      </c>
      <c r="I39" s="14">
        <v>45573</v>
      </c>
      <c r="J39" s="16">
        <f t="shared" ca="1" si="0"/>
        <v>6</v>
      </c>
      <c r="K39" s="16" t="str">
        <f ca="1">IF(J39&gt;=H39,"0",IF(I39&lt;&gt;"","100","50"))</f>
        <v>100</v>
      </c>
      <c r="O39" s="13" t="s">
        <v>51</v>
      </c>
    </row>
    <row r="40" spans="1:17" x14ac:dyDescent="0.2">
      <c r="A40" s="13" t="s">
        <v>151</v>
      </c>
      <c r="B40" s="13" t="s">
        <v>26</v>
      </c>
      <c r="C40" s="23" t="s">
        <v>152</v>
      </c>
      <c r="D40" s="14">
        <v>45546</v>
      </c>
      <c r="E40" s="13" t="s">
        <v>153</v>
      </c>
      <c r="F40" s="13" t="s">
        <v>49</v>
      </c>
      <c r="G40" s="13">
        <v>17400</v>
      </c>
      <c r="H40" s="16">
        <v>7</v>
      </c>
      <c r="I40" s="14">
        <v>45572</v>
      </c>
      <c r="J40" s="16">
        <f t="shared" ca="1" si="0"/>
        <v>26</v>
      </c>
      <c r="K40" s="16" t="str" cm="1">
        <f t="array" aca="1" ref="K40" ca="1">_xlfn.IFS(J40&gt;=H40,"0",J40&lt;H40,"100")</f>
        <v>0</v>
      </c>
      <c r="L40" s="13" t="s">
        <v>154</v>
      </c>
      <c r="O40" s="13" t="s">
        <v>51</v>
      </c>
      <c r="Q40" s="17">
        <f ca="1">-J40/H40</f>
        <v>-3.7142857142857144</v>
      </c>
    </row>
    <row r="41" spans="1:17" x14ac:dyDescent="0.2">
      <c r="A41" s="13" t="s">
        <v>155</v>
      </c>
      <c r="B41" s="13" t="s">
        <v>79</v>
      </c>
      <c r="C41" s="13" t="s">
        <v>156</v>
      </c>
      <c r="D41" s="14">
        <v>45571</v>
      </c>
      <c r="E41" s="13" t="s">
        <v>157</v>
      </c>
      <c r="F41" s="13" t="s">
        <v>158</v>
      </c>
      <c r="G41" s="15">
        <v>266907.78000000003</v>
      </c>
      <c r="H41" s="16">
        <v>15</v>
      </c>
      <c r="I41" s="14">
        <v>45571</v>
      </c>
      <c r="J41" s="16">
        <f t="shared" ca="1" si="0"/>
        <v>0</v>
      </c>
      <c r="K41" s="16" t="str">
        <f t="shared" ref="K41:K48" ca="1" si="4">IF(J41&gt;=H41,"0",IF(I41&lt;&gt;"","100","50"))</f>
        <v>100</v>
      </c>
      <c r="O41" s="13" t="s">
        <v>51</v>
      </c>
      <c r="P41" s="13" t="s">
        <v>159</v>
      </c>
    </row>
    <row r="42" spans="1:17" x14ac:dyDescent="0.2">
      <c r="A42" s="13" t="s">
        <v>155</v>
      </c>
      <c r="B42" s="13" t="s">
        <v>79</v>
      </c>
      <c r="C42" s="13" t="s">
        <v>156</v>
      </c>
      <c r="D42" s="14">
        <v>45571</v>
      </c>
      <c r="E42" s="13" t="s">
        <v>157</v>
      </c>
      <c r="F42" s="13" t="s">
        <v>158</v>
      </c>
      <c r="G42" s="15">
        <v>279475.88</v>
      </c>
      <c r="H42" s="16">
        <v>15</v>
      </c>
      <c r="I42" s="14">
        <v>45571</v>
      </c>
      <c r="J42" s="16">
        <f t="shared" ca="1" si="0"/>
        <v>0</v>
      </c>
      <c r="K42" s="16" t="str">
        <f t="shared" ca="1" si="4"/>
        <v>100</v>
      </c>
      <c r="O42" s="13" t="s">
        <v>51</v>
      </c>
      <c r="P42" s="13" t="s">
        <v>159</v>
      </c>
    </row>
    <row r="43" spans="1:17" x14ac:dyDescent="0.2">
      <c r="A43" s="13" t="s">
        <v>155</v>
      </c>
      <c r="B43" s="13" t="s">
        <v>79</v>
      </c>
      <c r="C43" s="13" t="s">
        <v>156</v>
      </c>
      <c r="D43" s="14">
        <v>45571</v>
      </c>
      <c r="E43" s="13" t="s">
        <v>157</v>
      </c>
      <c r="F43" s="13" t="s">
        <v>158</v>
      </c>
      <c r="G43" s="15">
        <v>275586</v>
      </c>
      <c r="H43" s="16">
        <v>15</v>
      </c>
      <c r="I43" s="14">
        <v>45571</v>
      </c>
      <c r="J43" s="16">
        <f t="shared" ca="1" si="0"/>
        <v>0</v>
      </c>
      <c r="K43" s="16" t="str">
        <f t="shared" ca="1" si="4"/>
        <v>100</v>
      </c>
      <c r="O43" s="13" t="s">
        <v>51</v>
      </c>
      <c r="P43" s="13" t="s">
        <v>159</v>
      </c>
    </row>
    <row r="44" spans="1:17" x14ac:dyDescent="0.2">
      <c r="A44" s="13" t="s">
        <v>155</v>
      </c>
      <c r="B44" s="13" t="s">
        <v>79</v>
      </c>
      <c r="C44" s="13" t="s">
        <v>160</v>
      </c>
      <c r="D44" s="14">
        <v>45571</v>
      </c>
      <c r="E44" s="13" t="s">
        <v>157</v>
      </c>
      <c r="F44" s="13" t="s">
        <v>158</v>
      </c>
      <c r="G44" s="15">
        <v>26277.5</v>
      </c>
      <c r="H44" s="16">
        <v>7</v>
      </c>
      <c r="I44" s="14">
        <v>45571</v>
      </c>
      <c r="J44" s="16">
        <f t="shared" ca="1" si="0"/>
        <v>0</v>
      </c>
      <c r="K44" s="16" t="str">
        <f t="shared" ca="1" si="4"/>
        <v>100</v>
      </c>
      <c r="O44" s="13" t="s">
        <v>51</v>
      </c>
    </row>
    <row r="45" spans="1:17" x14ac:dyDescent="0.2">
      <c r="A45" s="13" t="s">
        <v>155</v>
      </c>
      <c r="B45" s="13" t="s">
        <v>79</v>
      </c>
      <c r="C45" s="13" t="s">
        <v>161</v>
      </c>
      <c r="D45" s="14">
        <v>45567</v>
      </c>
      <c r="E45" s="13" t="s">
        <v>157</v>
      </c>
      <c r="F45" s="13" t="s">
        <v>158</v>
      </c>
      <c r="G45" s="15">
        <v>23287.5</v>
      </c>
      <c r="H45" s="16">
        <v>7</v>
      </c>
      <c r="I45" s="14">
        <v>45567</v>
      </c>
      <c r="J45" s="16">
        <f t="shared" ca="1" si="0"/>
        <v>0</v>
      </c>
      <c r="K45" s="16" t="str">
        <f t="shared" ca="1" si="4"/>
        <v>100</v>
      </c>
      <c r="O45" s="13" t="s">
        <v>51</v>
      </c>
    </row>
    <row r="46" spans="1:17" x14ac:dyDescent="0.2">
      <c r="A46" s="13" t="s">
        <v>155</v>
      </c>
      <c r="B46" s="13" t="s">
        <v>79</v>
      </c>
      <c r="C46" s="13" t="s">
        <v>162</v>
      </c>
      <c r="D46" s="14">
        <v>45567</v>
      </c>
      <c r="E46" s="13" t="s">
        <v>157</v>
      </c>
      <c r="F46" s="13" t="s">
        <v>158</v>
      </c>
      <c r="G46" s="15">
        <v>21677.5</v>
      </c>
      <c r="H46" s="16">
        <v>7</v>
      </c>
      <c r="I46" s="14">
        <v>45567</v>
      </c>
      <c r="J46" s="16">
        <f t="shared" ca="1" si="0"/>
        <v>0</v>
      </c>
      <c r="K46" s="16" t="str">
        <f t="shared" ca="1" si="4"/>
        <v>100</v>
      </c>
      <c r="O46" s="13" t="s">
        <v>51</v>
      </c>
    </row>
    <row r="47" spans="1:17" x14ac:dyDescent="0.2">
      <c r="A47" s="13" t="s">
        <v>155</v>
      </c>
      <c r="B47" s="13" t="s">
        <v>79</v>
      </c>
      <c r="C47" s="13" t="s">
        <v>745</v>
      </c>
      <c r="D47" s="14">
        <v>45571</v>
      </c>
      <c r="E47" s="13" t="s">
        <v>157</v>
      </c>
      <c r="F47" s="13" t="s">
        <v>20</v>
      </c>
      <c r="G47" s="15">
        <v>24380</v>
      </c>
      <c r="H47" s="16">
        <v>7</v>
      </c>
      <c r="J47" s="16">
        <f t="shared" ca="1" si="0"/>
        <v>394</v>
      </c>
      <c r="K47" s="16" t="str">
        <f t="shared" ca="1" si="4"/>
        <v>0</v>
      </c>
      <c r="O47" s="13" t="s">
        <v>51</v>
      </c>
    </row>
    <row r="48" spans="1:17" x14ac:dyDescent="0.2">
      <c r="A48" s="13" t="s">
        <v>73</v>
      </c>
      <c r="B48" s="13" t="s">
        <v>26</v>
      </c>
      <c r="C48" s="13" t="s">
        <v>163</v>
      </c>
      <c r="D48" s="14">
        <v>45567</v>
      </c>
      <c r="E48" s="13" t="s">
        <v>164</v>
      </c>
      <c r="F48" s="13" t="s">
        <v>165</v>
      </c>
      <c r="G48" s="15">
        <v>1200</v>
      </c>
      <c r="H48" s="16">
        <v>7</v>
      </c>
      <c r="I48" s="14">
        <v>45567</v>
      </c>
      <c r="J48" s="16">
        <f t="shared" ca="1" si="0"/>
        <v>0</v>
      </c>
      <c r="K48" s="16" t="str">
        <f t="shared" ca="1" si="4"/>
        <v>100</v>
      </c>
      <c r="L48" s="13">
        <v>1073954</v>
      </c>
      <c r="N48" s="14">
        <v>45568</v>
      </c>
      <c r="O48" s="13" t="s">
        <v>24</v>
      </c>
    </row>
    <row r="49" spans="1:17" x14ac:dyDescent="0.2">
      <c r="A49" s="13" t="s">
        <v>73</v>
      </c>
      <c r="B49" s="13" t="s">
        <v>26</v>
      </c>
      <c r="C49" s="13" t="s">
        <v>166</v>
      </c>
      <c r="D49" s="14">
        <v>45564</v>
      </c>
      <c r="E49" s="13" t="s">
        <v>167</v>
      </c>
      <c r="F49" s="13" t="s">
        <v>168</v>
      </c>
      <c r="G49" s="15">
        <v>828</v>
      </c>
      <c r="H49" s="16">
        <v>7</v>
      </c>
      <c r="I49" s="14" t="s">
        <v>128</v>
      </c>
      <c r="J49" s="16">
        <f t="shared" ca="1" si="0"/>
        <v>0</v>
      </c>
      <c r="K49" s="16" t="str" cm="1">
        <f t="array" aca="1" ref="K49" ca="1">_xlfn.IFS(J49&gt;=H49,"0",J49&lt;H49,"100")</f>
        <v>100</v>
      </c>
      <c r="L49" s="13">
        <v>1072835</v>
      </c>
      <c r="N49" s="14">
        <v>45361</v>
      </c>
      <c r="O49" s="13" t="s">
        <v>51</v>
      </c>
      <c r="Q49" s="17">
        <f ca="1">-J49/H49</f>
        <v>0</v>
      </c>
    </row>
    <row r="50" spans="1:17" x14ac:dyDescent="0.2">
      <c r="A50" s="13" t="s">
        <v>73</v>
      </c>
      <c r="B50" s="13" t="s">
        <v>26</v>
      </c>
      <c r="C50" s="13" t="s">
        <v>169</v>
      </c>
      <c r="D50" s="14">
        <v>45564</v>
      </c>
      <c r="E50" s="13" t="s">
        <v>170</v>
      </c>
      <c r="F50" s="13" t="s">
        <v>171</v>
      </c>
      <c r="G50" s="15">
        <v>1720</v>
      </c>
      <c r="H50" s="16">
        <v>7</v>
      </c>
      <c r="I50" s="14" t="s">
        <v>128</v>
      </c>
      <c r="J50" s="16">
        <f t="shared" ca="1" si="0"/>
        <v>0</v>
      </c>
      <c r="K50" s="16" t="str" cm="1">
        <f t="array" aca="1" ref="K50" ca="1">_xlfn.IFS(J50&gt;=H50,"0",J50&lt;H50,"100")</f>
        <v>100</v>
      </c>
      <c r="L50" s="13">
        <v>1072985</v>
      </c>
      <c r="N50" s="14" t="s">
        <v>115</v>
      </c>
      <c r="O50" s="13" t="s">
        <v>51</v>
      </c>
      <c r="Q50" s="17">
        <f ca="1">-J50/H50</f>
        <v>0</v>
      </c>
    </row>
    <row r="51" spans="1:17" x14ac:dyDescent="0.2">
      <c r="A51" s="13" t="s">
        <v>73</v>
      </c>
      <c r="B51" s="13" t="s">
        <v>26</v>
      </c>
      <c r="C51" s="13" t="s">
        <v>172</v>
      </c>
      <c r="D51" s="14">
        <v>45554</v>
      </c>
      <c r="E51" s="13" t="s">
        <v>167</v>
      </c>
      <c r="F51" s="13" t="s">
        <v>20</v>
      </c>
      <c r="G51" s="15">
        <v>632</v>
      </c>
      <c r="H51" s="16">
        <v>7</v>
      </c>
      <c r="I51" s="14" t="s">
        <v>173</v>
      </c>
      <c r="J51" s="16">
        <f t="shared" ca="1" si="0"/>
        <v>7</v>
      </c>
      <c r="K51" s="16" t="str" cm="1">
        <f t="array" aca="1" ref="K51" ca="1">_xlfn.IFS(J51&gt;=H51,"0",J51&lt;H51,"100")</f>
        <v>0</v>
      </c>
      <c r="L51" s="13">
        <v>1070076</v>
      </c>
      <c r="N51" s="14">
        <v>45361</v>
      </c>
      <c r="O51" s="13" t="s">
        <v>51</v>
      </c>
      <c r="Q51" s="17">
        <f ca="1">-J51/H51</f>
        <v>-1</v>
      </c>
    </row>
    <row r="52" spans="1:17" x14ac:dyDescent="0.2">
      <c r="A52" s="13" t="s">
        <v>73</v>
      </c>
      <c r="B52" s="13" t="s">
        <v>26</v>
      </c>
      <c r="C52" s="13" t="s">
        <v>174</v>
      </c>
      <c r="D52" s="14">
        <v>45568</v>
      </c>
      <c r="E52" s="13" t="s">
        <v>175</v>
      </c>
      <c r="F52" s="13" t="s">
        <v>176</v>
      </c>
      <c r="G52" s="15">
        <v>280</v>
      </c>
      <c r="H52" s="16">
        <v>7</v>
      </c>
      <c r="I52" s="14">
        <v>45568</v>
      </c>
      <c r="J52" s="16">
        <f t="shared" ca="1" si="0"/>
        <v>0</v>
      </c>
      <c r="K52" s="16" t="str">
        <f t="shared" ref="K52:K74" ca="1" si="5">IF(J52&gt;=H52,"0",IF(I52&lt;&gt;"","100","50"))</f>
        <v>100</v>
      </c>
      <c r="L52" s="13">
        <v>1074434</v>
      </c>
      <c r="N52" s="14">
        <v>45571</v>
      </c>
      <c r="O52" s="13" t="s">
        <v>24</v>
      </c>
    </row>
    <row r="53" spans="1:17" x14ac:dyDescent="0.2">
      <c r="A53" s="13" t="s">
        <v>73</v>
      </c>
      <c r="B53" s="13" t="s">
        <v>26</v>
      </c>
      <c r="C53" s="13" t="s">
        <v>174</v>
      </c>
      <c r="D53" s="14">
        <v>45568</v>
      </c>
      <c r="E53" s="13" t="s">
        <v>175</v>
      </c>
      <c r="F53" s="13" t="s">
        <v>176</v>
      </c>
      <c r="G53" s="15">
        <v>191</v>
      </c>
      <c r="H53" s="16">
        <v>7</v>
      </c>
      <c r="I53" s="14">
        <v>45568</v>
      </c>
      <c r="J53" s="16">
        <f t="shared" ca="1" si="0"/>
        <v>0</v>
      </c>
      <c r="K53" s="16" t="str">
        <f t="shared" ca="1" si="5"/>
        <v>100</v>
      </c>
      <c r="L53" s="13">
        <v>1074060</v>
      </c>
      <c r="N53" s="14">
        <v>45571</v>
      </c>
      <c r="O53" s="13" t="s">
        <v>24</v>
      </c>
    </row>
    <row r="54" spans="1:17" x14ac:dyDescent="0.2">
      <c r="A54" s="13" t="s">
        <v>73</v>
      </c>
      <c r="B54" s="13" t="s">
        <v>26</v>
      </c>
      <c r="C54" s="13" t="s">
        <v>177</v>
      </c>
      <c r="D54" s="14">
        <v>45572</v>
      </c>
      <c r="E54" s="13" t="s">
        <v>178</v>
      </c>
      <c r="F54" s="13" t="s">
        <v>179</v>
      </c>
      <c r="G54" s="15">
        <v>150</v>
      </c>
      <c r="H54" s="16">
        <v>7</v>
      </c>
      <c r="I54" s="14">
        <v>45573</v>
      </c>
      <c r="J54" s="16">
        <f t="shared" ca="1" si="0"/>
        <v>1</v>
      </c>
      <c r="K54" s="16" t="str">
        <f t="shared" ca="1" si="5"/>
        <v>100</v>
      </c>
      <c r="N54" s="14">
        <v>45573</v>
      </c>
      <c r="O54" s="13" t="s">
        <v>24</v>
      </c>
    </row>
    <row r="55" spans="1:17" x14ac:dyDescent="0.2">
      <c r="A55" s="13" t="s">
        <v>180</v>
      </c>
      <c r="B55" s="13" t="s">
        <v>79</v>
      </c>
      <c r="C55" s="13" t="s">
        <v>181</v>
      </c>
      <c r="D55" s="14">
        <v>45568</v>
      </c>
      <c r="E55" s="13" t="s">
        <v>182</v>
      </c>
      <c r="F55" s="13" t="s">
        <v>125</v>
      </c>
      <c r="G55" s="15">
        <v>9297.75</v>
      </c>
      <c r="H55" s="16">
        <v>7</v>
      </c>
      <c r="I55" s="14">
        <v>45568</v>
      </c>
      <c r="J55" s="16">
        <f t="shared" ca="1" si="0"/>
        <v>0</v>
      </c>
      <c r="K55" s="16" t="str">
        <f t="shared" ca="1" si="5"/>
        <v>100</v>
      </c>
      <c r="O55" s="13" t="s">
        <v>51</v>
      </c>
      <c r="P55" s="13" t="s">
        <v>159</v>
      </c>
    </row>
    <row r="56" spans="1:17" x14ac:dyDescent="0.2">
      <c r="A56" s="13" t="s">
        <v>180</v>
      </c>
      <c r="B56" s="13" t="s">
        <v>79</v>
      </c>
      <c r="C56" s="13" t="s">
        <v>183</v>
      </c>
      <c r="D56" s="14">
        <v>45568</v>
      </c>
      <c r="E56" s="13" t="s">
        <v>184</v>
      </c>
      <c r="F56" s="13" t="s">
        <v>185</v>
      </c>
      <c r="G56" s="15">
        <v>22770</v>
      </c>
      <c r="H56" s="16">
        <v>7</v>
      </c>
      <c r="I56" s="14">
        <v>45568</v>
      </c>
      <c r="J56" s="16">
        <f t="shared" ca="1" si="0"/>
        <v>0</v>
      </c>
      <c r="K56" s="16" t="str">
        <f t="shared" ca="1" si="5"/>
        <v>100</v>
      </c>
      <c r="O56" s="13" t="s">
        <v>51</v>
      </c>
    </row>
    <row r="57" spans="1:17" x14ac:dyDescent="0.2">
      <c r="A57" s="13" t="s">
        <v>180</v>
      </c>
      <c r="B57" s="13" t="s">
        <v>79</v>
      </c>
      <c r="C57" s="13" t="s">
        <v>181</v>
      </c>
      <c r="D57" s="14">
        <v>45568</v>
      </c>
      <c r="E57" s="13" t="s">
        <v>186</v>
      </c>
      <c r="F57" s="13" t="s">
        <v>125</v>
      </c>
      <c r="G57" s="15">
        <v>28799.96</v>
      </c>
      <c r="H57" s="16">
        <v>7</v>
      </c>
      <c r="I57" s="14">
        <v>45568</v>
      </c>
      <c r="J57" s="16">
        <f t="shared" ca="1" si="0"/>
        <v>0</v>
      </c>
      <c r="K57" s="16" t="str">
        <f t="shared" ca="1" si="5"/>
        <v>100</v>
      </c>
      <c r="O57" s="13" t="s">
        <v>51</v>
      </c>
      <c r="P57" s="13" t="s">
        <v>159</v>
      </c>
    </row>
    <row r="58" spans="1:17" x14ac:dyDescent="0.2">
      <c r="A58" s="13" t="s">
        <v>180</v>
      </c>
      <c r="B58" s="13" t="s">
        <v>79</v>
      </c>
      <c r="C58" s="13" t="s">
        <v>187</v>
      </c>
      <c r="D58" s="14">
        <v>45567</v>
      </c>
      <c r="E58" s="13" t="s">
        <v>188</v>
      </c>
      <c r="F58" s="13" t="s">
        <v>95</v>
      </c>
      <c r="G58" s="15">
        <v>20000</v>
      </c>
      <c r="H58" s="16">
        <v>7</v>
      </c>
      <c r="I58" s="14">
        <v>45567</v>
      </c>
      <c r="J58" s="16">
        <f t="shared" ca="1" si="0"/>
        <v>0</v>
      </c>
      <c r="K58" s="16" t="str">
        <f t="shared" ca="1" si="5"/>
        <v>100</v>
      </c>
      <c r="O58" s="13" t="s">
        <v>51</v>
      </c>
    </row>
    <row r="59" spans="1:17" x14ac:dyDescent="0.2">
      <c r="A59" s="13" t="s">
        <v>180</v>
      </c>
      <c r="B59" s="13" t="s">
        <v>79</v>
      </c>
      <c r="C59" s="13" t="s">
        <v>189</v>
      </c>
      <c r="D59" s="14">
        <v>45571</v>
      </c>
      <c r="E59" s="13" t="s">
        <v>190</v>
      </c>
      <c r="F59" s="13" t="s">
        <v>191</v>
      </c>
      <c r="G59" s="15">
        <v>29000</v>
      </c>
      <c r="H59" s="16">
        <v>7</v>
      </c>
      <c r="J59" s="16">
        <f t="shared" ca="1" si="0"/>
        <v>394</v>
      </c>
      <c r="K59" s="16" t="str">
        <f t="shared" ca="1" si="5"/>
        <v>0</v>
      </c>
      <c r="O59" s="13" t="s">
        <v>51</v>
      </c>
    </row>
    <row r="60" spans="1:17" x14ac:dyDescent="0.2">
      <c r="A60" s="13" t="s">
        <v>180</v>
      </c>
      <c r="B60" s="13" t="s">
        <v>79</v>
      </c>
      <c r="C60" s="13" t="s">
        <v>192</v>
      </c>
      <c r="D60" s="14">
        <v>45571</v>
      </c>
      <c r="E60" s="13" t="s">
        <v>193</v>
      </c>
      <c r="F60" s="13" t="s">
        <v>191</v>
      </c>
      <c r="G60" s="15">
        <v>7000</v>
      </c>
      <c r="H60" s="16">
        <v>7</v>
      </c>
      <c r="I60" s="14">
        <v>45571</v>
      </c>
      <c r="J60" s="16">
        <f t="shared" ca="1" si="0"/>
        <v>0</v>
      </c>
      <c r="K60" s="16" t="str">
        <f t="shared" ca="1" si="5"/>
        <v>100</v>
      </c>
      <c r="O60" s="13" t="s">
        <v>51</v>
      </c>
    </row>
    <row r="61" spans="1:17" x14ac:dyDescent="0.2">
      <c r="A61" s="13" t="s">
        <v>180</v>
      </c>
      <c r="B61" s="13" t="s">
        <v>79</v>
      </c>
      <c r="C61" s="13" t="s">
        <v>194</v>
      </c>
      <c r="D61" s="14">
        <v>45571</v>
      </c>
      <c r="E61" s="13" t="s">
        <v>194</v>
      </c>
      <c r="F61" s="13" t="s">
        <v>158</v>
      </c>
      <c r="G61" s="15">
        <v>10000</v>
      </c>
      <c r="H61" s="16">
        <v>7</v>
      </c>
      <c r="I61" s="14">
        <v>45571</v>
      </c>
      <c r="J61" s="16">
        <f t="shared" ca="1" si="0"/>
        <v>0</v>
      </c>
      <c r="K61" s="16" t="str">
        <f t="shared" ca="1" si="5"/>
        <v>100</v>
      </c>
      <c r="O61" s="13" t="s">
        <v>51</v>
      </c>
      <c r="P61" s="13" t="s">
        <v>159</v>
      </c>
    </row>
    <row r="62" spans="1:17" x14ac:dyDescent="0.2">
      <c r="A62" s="13" t="s">
        <v>180</v>
      </c>
      <c r="B62" s="13" t="s">
        <v>79</v>
      </c>
      <c r="C62" s="13" t="s">
        <v>195</v>
      </c>
      <c r="D62" s="14">
        <v>45571</v>
      </c>
      <c r="E62" s="13" t="s">
        <v>195</v>
      </c>
      <c r="F62" s="13" t="s">
        <v>158</v>
      </c>
      <c r="G62" s="15">
        <v>75256</v>
      </c>
      <c r="H62" s="16">
        <v>7</v>
      </c>
      <c r="I62" s="14">
        <v>45571</v>
      </c>
      <c r="J62" s="16">
        <f t="shared" ca="1" si="0"/>
        <v>0</v>
      </c>
      <c r="K62" s="16" t="str">
        <f t="shared" ca="1" si="5"/>
        <v>100</v>
      </c>
      <c r="O62" s="13" t="s">
        <v>51</v>
      </c>
      <c r="P62" s="13" t="s">
        <v>159</v>
      </c>
    </row>
    <row r="63" spans="1:17" x14ac:dyDescent="0.2">
      <c r="A63" s="13" t="s">
        <v>180</v>
      </c>
      <c r="B63" s="13" t="s">
        <v>79</v>
      </c>
      <c r="C63" s="13" t="s">
        <v>196</v>
      </c>
      <c r="D63" s="14">
        <v>45571</v>
      </c>
      <c r="E63" s="13" t="s">
        <v>196</v>
      </c>
      <c r="F63" s="13" t="s">
        <v>158</v>
      </c>
      <c r="G63" s="15">
        <v>75256</v>
      </c>
      <c r="H63" s="16">
        <v>7</v>
      </c>
      <c r="I63" s="14">
        <v>45571</v>
      </c>
      <c r="J63" s="16">
        <f t="shared" ca="1" si="0"/>
        <v>0</v>
      </c>
      <c r="K63" s="16" t="str">
        <f t="shared" ca="1" si="5"/>
        <v>100</v>
      </c>
      <c r="O63" s="13" t="s">
        <v>51</v>
      </c>
      <c r="P63" s="13" t="s">
        <v>159</v>
      </c>
    </row>
    <row r="64" spans="1:17" x14ac:dyDescent="0.1">
      <c r="A64" s="13" t="s">
        <v>739</v>
      </c>
      <c r="B64" s="13" t="s">
        <v>26</v>
      </c>
      <c r="C64" s="24" t="s">
        <v>197</v>
      </c>
      <c r="D64" s="14">
        <v>45571</v>
      </c>
      <c r="E64" s="24" t="s">
        <v>198</v>
      </c>
      <c r="F64" s="25" t="s">
        <v>199</v>
      </c>
      <c r="G64" s="24">
        <v>475</v>
      </c>
      <c r="H64" s="26">
        <v>7</v>
      </c>
      <c r="I64" s="27">
        <v>45538</v>
      </c>
      <c r="J64" s="16">
        <f ca="1">IF(ISBLANK(I64),TODAY()-D64,I64-D64)</f>
        <v>-33</v>
      </c>
      <c r="K64" s="16" t="str">
        <f ca="1">IF(J64&gt;=H64,"0",IF(I64&lt;&gt;"","100","50"))</f>
        <v>100</v>
      </c>
      <c r="L64" s="24" t="s">
        <v>30</v>
      </c>
      <c r="M64" s="27" t="s">
        <v>200</v>
      </c>
      <c r="N64" s="14">
        <v>45483</v>
      </c>
      <c r="O64" s="13" t="s">
        <v>24</v>
      </c>
      <c r="P64" s="13" t="s">
        <v>746</v>
      </c>
    </row>
    <row r="65" spans="1:17" x14ac:dyDescent="0.2">
      <c r="A65" s="13" t="s">
        <v>739</v>
      </c>
      <c r="B65" s="13" t="s">
        <v>26</v>
      </c>
      <c r="C65" s="24" t="s">
        <v>201</v>
      </c>
      <c r="D65" s="14">
        <v>45567</v>
      </c>
      <c r="E65" s="28" t="s">
        <v>202</v>
      </c>
      <c r="F65" s="29" t="s">
        <v>203</v>
      </c>
      <c r="G65" s="24">
        <v>675</v>
      </c>
      <c r="H65" s="26">
        <v>7</v>
      </c>
      <c r="I65" s="27">
        <v>45572</v>
      </c>
      <c r="J65" s="16">
        <f t="shared" ca="1" si="0"/>
        <v>5</v>
      </c>
      <c r="K65" s="16" t="str">
        <f t="shared" ca="1" si="5"/>
        <v>100</v>
      </c>
      <c r="L65" s="28" t="s">
        <v>204</v>
      </c>
      <c r="M65" s="27" t="s">
        <v>747</v>
      </c>
      <c r="N65" s="14" t="s">
        <v>747</v>
      </c>
      <c r="O65" s="13" t="s">
        <v>51</v>
      </c>
      <c r="P65" s="13" t="s">
        <v>747</v>
      </c>
    </row>
    <row r="66" spans="1:17" x14ac:dyDescent="0.2">
      <c r="A66" s="13" t="s">
        <v>739</v>
      </c>
      <c r="B66" s="13" t="s">
        <v>26</v>
      </c>
      <c r="C66" s="24" t="s">
        <v>205</v>
      </c>
      <c r="D66" s="14">
        <v>45567</v>
      </c>
      <c r="E66" s="24" t="s">
        <v>206</v>
      </c>
      <c r="F66" s="30" t="s">
        <v>207</v>
      </c>
      <c r="G66" s="24">
        <v>836</v>
      </c>
      <c r="H66" s="26">
        <v>7</v>
      </c>
      <c r="I66" s="27">
        <v>45567</v>
      </c>
      <c r="J66" s="16">
        <f t="shared" ca="1" si="0"/>
        <v>0</v>
      </c>
      <c r="K66" s="16" t="str">
        <f t="shared" ca="1" si="5"/>
        <v>100</v>
      </c>
      <c r="L66" s="24" t="s">
        <v>208</v>
      </c>
      <c r="M66" s="27" t="s">
        <v>747</v>
      </c>
      <c r="N66" s="14" t="s">
        <v>747</v>
      </c>
      <c r="O66" s="13" t="s">
        <v>51</v>
      </c>
      <c r="P66" s="13" t="s">
        <v>747</v>
      </c>
    </row>
    <row r="67" spans="1:17" x14ac:dyDescent="0.2">
      <c r="A67" s="13" t="s">
        <v>739</v>
      </c>
      <c r="B67" s="13" t="s">
        <v>26</v>
      </c>
      <c r="C67" s="24" t="s">
        <v>209</v>
      </c>
      <c r="D67" s="14">
        <v>45567</v>
      </c>
      <c r="E67" s="24" t="s">
        <v>210</v>
      </c>
      <c r="F67" s="30" t="s">
        <v>211</v>
      </c>
      <c r="G67" s="24">
        <v>232</v>
      </c>
      <c r="H67" s="26">
        <v>7</v>
      </c>
      <c r="I67" s="27">
        <v>45567</v>
      </c>
      <c r="J67" s="16">
        <f t="shared" ref="J67:J119" ca="1" si="6">IF(ISBLANK(I67),TODAY()-D67,I67-D67)</f>
        <v>0</v>
      </c>
      <c r="K67" s="16" t="str">
        <f t="shared" ca="1" si="5"/>
        <v>100</v>
      </c>
      <c r="L67" s="24" t="s">
        <v>208</v>
      </c>
      <c r="M67" s="27" t="s">
        <v>747</v>
      </c>
      <c r="N67" s="14" t="s">
        <v>747</v>
      </c>
      <c r="O67" s="13" t="s">
        <v>51</v>
      </c>
      <c r="P67" s="13" t="s">
        <v>747</v>
      </c>
    </row>
    <row r="68" spans="1:17" x14ac:dyDescent="0.2">
      <c r="A68" s="13" t="s">
        <v>739</v>
      </c>
      <c r="B68" s="13" t="s">
        <v>26</v>
      </c>
      <c r="C68" s="24" t="s">
        <v>212</v>
      </c>
      <c r="D68" s="14">
        <v>45567</v>
      </c>
      <c r="E68" s="24" t="s">
        <v>213</v>
      </c>
      <c r="F68" s="31" t="s">
        <v>214</v>
      </c>
      <c r="G68" s="24">
        <v>86.96</v>
      </c>
      <c r="H68" s="26">
        <v>7</v>
      </c>
      <c r="I68" s="27">
        <v>45567</v>
      </c>
      <c r="J68" s="16">
        <f t="shared" ca="1" si="6"/>
        <v>0</v>
      </c>
      <c r="K68" s="16" t="str">
        <f t="shared" ca="1" si="5"/>
        <v>100</v>
      </c>
      <c r="L68" s="24" t="s">
        <v>208</v>
      </c>
      <c r="M68" s="27" t="s">
        <v>747</v>
      </c>
      <c r="N68" s="14" t="s">
        <v>747</v>
      </c>
      <c r="O68" s="13" t="s">
        <v>51</v>
      </c>
      <c r="P68" s="13" t="s">
        <v>747</v>
      </c>
    </row>
    <row r="69" spans="1:17" x14ac:dyDescent="0.2">
      <c r="A69" s="13" t="s">
        <v>739</v>
      </c>
      <c r="B69" s="13" t="s">
        <v>26</v>
      </c>
      <c r="C69" s="24" t="s">
        <v>215</v>
      </c>
      <c r="D69" s="14">
        <v>45567</v>
      </c>
      <c r="E69" s="24" t="s">
        <v>216</v>
      </c>
      <c r="F69" s="31" t="s">
        <v>217</v>
      </c>
      <c r="G69" s="24">
        <v>304.35000000000002</v>
      </c>
      <c r="H69" s="26">
        <v>7</v>
      </c>
      <c r="I69" s="27">
        <v>45567</v>
      </c>
      <c r="J69" s="16">
        <f t="shared" ca="1" si="6"/>
        <v>0</v>
      </c>
      <c r="K69" s="16" t="str">
        <f t="shared" ca="1" si="5"/>
        <v>100</v>
      </c>
      <c r="L69" s="24" t="s">
        <v>208</v>
      </c>
      <c r="M69" s="27" t="s">
        <v>747</v>
      </c>
      <c r="N69" s="14" t="s">
        <v>747</v>
      </c>
      <c r="O69" s="13" t="s">
        <v>51</v>
      </c>
      <c r="P69" s="13" t="s">
        <v>746</v>
      </c>
    </row>
    <row r="70" spans="1:17" x14ac:dyDescent="0.2">
      <c r="A70" s="13" t="s">
        <v>739</v>
      </c>
      <c r="B70" s="13" t="s">
        <v>26</v>
      </c>
      <c r="C70" s="24" t="s">
        <v>218</v>
      </c>
      <c r="D70" s="14">
        <v>45567</v>
      </c>
      <c r="E70" s="24" t="s">
        <v>206</v>
      </c>
      <c r="F70" s="31" t="s">
        <v>219</v>
      </c>
      <c r="G70" s="24">
        <v>576</v>
      </c>
      <c r="H70" s="26">
        <v>7</v>
      </c>
      <c r="I70" s="27">
        <v>45567</v>
      </c>
      <c r="J70" s="16">
        <f t="shared" ca="1" si="6"/>
        <v>0</v>
      </c>
      <c r="K70" s="16" t="str">
        <f t="shared" ca="1" si="5"/>
        <v>100</v>
      </c>
      <c r="L70" s="24" t="s">
        <v>208</v>
      </c>
      <c r="M70" s="27" t="s">
        <v>747</v>
      </c>
      <c r="N70" s="14" t="s">
        <v>747</v>
      </c>
      <c r="O70" s="13" t="s">
        <v>51</v>
      </c>
      <c r="P70" s="13" t="s">
        <v>747</v>
      </c>
    </row>
    <row r="71" spans="1:17" x14ac:dyDescent="0.2">
      <c r="A71" s="13" t="s">
        <v>739</v>
      </c>
      <c r="B71" s="13" t="s">
        <v>26</v>
      </c>
      <c r="C71" s="32" t="s">
        <v>215</v>
      </c>
      <c r="D71" s="33">
        <v>45567</v>
      </c>
      <c r="E71" s="34" t="s">
        <v>220</v>
      </c>
      <c r="F71" s="31" t="s">
        <v>217</v>
      </c>
      <c r="G71" s="24">
        <v>1099</v>
      </c>
      <c r="H71" s="26">
        <v>7</v>
      </c>
      <c r="I71" s="27">
        <v>45567</v>
      </c>
      <c r="J71" s="16">
        <f t="shared" ca="1" si="6"/>
        <v>0</v>
      </c>
      <c r="K71" s="16" t="str">
        <f t="shared" ca="1" si="5"/>
        <v>100</v>
      </c>
      <c r="L71" s="24" t="s">
        <v>221</v>
      </c>
      <c r="M71" s="27" t="s">
        <v>747</v>
      </c>
      <c r="N71" s="14">
        <v>45483</v>
      </c>
      <c r="O71" s="13" t="s">
        <v>24</v>
      </c>
      <c r="P71" s="13" t="s">
        <v>32</v>
      </c>
    </row>
    <row r="72" spans="1:17" x14ac:dyDescent="0.2">
      <c r="A72" s="13" t="s">
        <v>479</v>
      </c>
      <c r="B72" s="13" t="s">
        <v>26</v>
      </c>
      <c r="C72" s="13" t="s">
        <v>222</v>
      </c>
      <c r="D72" s="33">
        <v>45571</v>
      </c>
      <c r="E72" s="13" t="s">
        <v>223</v>
      </c>
      <c r="F72" s="13" t="s">
        <v>49</v>
      </c>
      <c r="G72" s="13">
        <v>9450</v>
      </c>
      <c r="H72" s="16">
        <v>7</v>
      </c>
      <c r="J72" s="16">
        <f ca="1">IF(ISBLANK(I72),TODAY()-D72,I72-D72)</f>
        <v>394</v>
      </c>
      <c r="K72" s="16" t="str">
        <f ca="1">IF(J72&gt;=H72,"0",IF(I72&lt;&gt;"","100","50"))</f>
        <v>0</v>
      </c>
      <c r="L72" s="13" t="s">
        <v>224</v>
      </c>
      <c r="O72" s="13" t="s">
        <v>51</v>
      </c>
    </row>
    <row r="73" spans="1:17" x14ac:dyDescent="0.2">
      <c r="A73" s="13" t="s">
        <v>479</v>
      </c>
      <c r="B73" s="13" t="s">
        <v>26</v>
      </c>
      <c r="C73" s="13" t="s">
        <v>225</v>
      </c>
      <c r="D73" s="33">
        <v>45567</v>
      </c>
      <c r="E73" s="13" t="s">
        <v>226</v>
      </c>
      <c r="F73" s="13" t="s">
        <v>60</v>
      </c>
      <c r="G73" s="13">
        <v>2550</v>
      </c>
      <c r="H73" s="16">
        <v>7</v>
      </c>
      <c r="I73" s="14">
        <v>45573</v>
      </c>
      <c r="J73" s="16">
        <f t="shared" ca="1" si="6"/>
        <v>6</v>
      </c>
      <c r="K73" s="16" t="str">
        <f t="shared" ca="1" si="5"/>
        <v>100</v>
      </c>
      <c r="L73" s="13" t="s">
        <v>227</v>
      </c>
      <c r="O73" s="13" t="s">
        <v>51</v>
      </c>
    </row>
    <row r="74" spans="1:17" x14ac:dyDescent="0.2">
      <c r="A74" s="13" t="s">
        <v>479</v>
      </c>
      <c r="B74" s="13" t="s">
        <v>26</v>
      </c>
      <c r="C74" s="13" t="s">
        <v>228</v>
      </c>
      <c r="D74" s="33">
        <v>45571</v>
      </c>
      <c r="E74" s="13" t="s">
        <v>59</v>
      </c>
      <c r="F74" s="13" t="s">
        <v>60</v>
      </c>
      <c r="G74" s="13">
        <v>2000</v>
      </c>
      <c r="H74" s="16">
        <v>7</v>
      </c>
      <c r="I74" s="14">
        <v>45573</v>
      </c>
      <c r="J74" s="16">
        <f t="shared" ca="1" si="6"/>
        <v>2</v>
      </c>
      <c r="K74" s="16" t="str">
        <f t="shared" ca="1" si="5"/>
        <v>100</v>
      </c>
      <c r="L74" s="13" t="s">
        <v>61</v>
      </c>
      <c r="O74" s="13" t="s">
        <v>51</v>
      </c>
    </row>
    <row r="75" spans="1:17" x14ac:dyDescent="0.2">
      <c r="A75" s="13" t="s">
        <v>229</v>
      </c>
      <c r="B75" s="13" t="s">
        <v>26</v>
      </c>
      <c r="C75" s="13" t="s">
        <v>230</v>
      </c>
      <c r="D75" s="14">
        <v>45551</v>
      </c>
      <c r="E75" s="13" t="s">
        <v>231</v>
      </c>
      <c r="F75" s="13" t="s">
        <v>232</v>
      </c>
      <c r="G75" s="35">
        <v>28185</v>
      </c>
      <c r="H75" s="16">
        <v>7</v>
      </c>
      <c r="J75" s="16">
        <f t="shared" ca="1" si="6"/>
        <v>414</v>
      </c>
      <c r="K75" s="16" t="str" cm="1">
        <f t="array" aca="1" ref="K75" ca="1">_xlfn.IFS(J75&gt;=H75,"0",J75&lt;H75,"100")</f>
        <v>0</v>
      </c>
      <c r="L75" s="13" t="s">
        <v>233</v>
      </c>
      <c r="O75" s="13" t="s">
        <v>51</v>
      </c>
      <c r="Q75" s="17">
        <f ca="1">-J75/H75</f>
        <v>-59.142857142857146</v>
      </c>
    </row>
    <row r="76" spans="1:17" x14ac:dyDescent="0.15">
      <c r="A76" s="13" t="s">
        <v>229</v>
      </c>
      <c r="B76" s="13" t="s">
        <v>26</v>
      </c>
      <c r="C76" s="13" t="s">
        <v>234</v>
      </c>
      <c r="D76" s="14">
        <v>45553</v>
      </c>
      <c r="E76" s="13" t="s">
        <v>231</v>
      </c>
      <c r="F76" s="13" t="s">
        <v>82</v>
      </c>
      <c r="G76" s="36">
        <v>636364.80000000005</v>
      </c>
      <c r="H76" s="37">
        <v>15</v>
      </c>
      <c r="J76" s="16">
        <f t="shared" ca="1" si="6"/>
        <v>412</v>
      </c>
      <c r="K76" s="16" t="str" cm="1">
        <f t="array" aca="1" ref="K76" ca="1">_xlfn.IFS(J76&gt;=H76,"0",J76&lt;H76,"100")</f>
        <v>0</v>
      </c>
      <c r="O76" s="13" t="s">
        <v>51</v>
      </c>
      <c r="Q76" s="17">
        <f ca="1">-J76/H76</f>
        <v>-27.466666666666665</v>
      </c>
    </row>
    <row r="77" spans="1:17" x14ac:dyDescent="0.2">
      <c r="A77" s="13" t="s">
        <v>229</v>
      </c>
      <c r="B77" s="13" t="s">
        <v>26</v>
      </c>
      <c r="C77" s="13" t="s">
        <v>235</v>
      </c>
      <c r="D77" s="14">
        <v>45567</v>
      </c>
      <c r="E77" s="13" t="s">
        <v>231</v>
      </c>
      <c r="F77" s="13" t="s">
        <v>82</v>
      </c>
      <c r="G77" s="35">
        <v>288000</v>
      </c>
      <c r="H77" s="16">
        <v>15</v>
      </c>
      <c r="J77" s="16">
        <f t="shared" ca="1" si="6"/>
        <v>398</v>
      </c>
      <c r="K77" s="16" t="str">
        <f ca="1">IF(J77&gt;=H77,"0",IF(I77&lt;&gt;"","100","50"))</f>
        <v>0</v>
      </c>
      <c r="O77" s="13" t="s">
        <v>51</v>
      </c>
    </row>
    <row r="78" spans="1:17" x14ac:dyDescent="0.2">
      <c r="A78" s="13" t="s">
        <v>229</v>
      </c>
      <c r="B78" s="13" t="s">
        <v>26</v>
      </c>
      <c r="C78" s="13" t="s">
        <v>235</v>
      </c>
      <c r="D78" s="14">
        <v>45567</v>
      </c>
      <c r="E78" s="13" t="s">
        <v>231</v>
      </c>
      <c r="F78" s="13" t="s">
        <v>82</v>
      </c>
      <c r="G78" s="35">
        <v>464184</v>
      </c>
      <c r="H78" s="16">
        <v>15</v>
      </c>
      <c r="J78" s="16">
        <f t="shared" ca="1" si="6"/>
        <v>398</v>
      </c>
      <c r="K78" s="16" t="str">
        <f ca="1">IF(J78&gt;=H78,"0",IF(I78&lt;&gt;"","100","50"))</f>
        <v>0</v>
      </c>
      <c r="O78" s="13" t="s">
        <v>51</v>
      </c>
    </row>
    <row r="79" spans="1:17" x14ac:dyDescent="0.2">
      <c r="A79" s="13" t="s">
        <v>229</v>
      </c>
      <c r="B79" s="13" t="s">
        <v>26</v>
      </c>
      <c r="C79" s="13" t="s">
        <v>236</v>
      </c>
      <c r="D79" s="64">
        <v>45565</v>
      </c>
      <c r="E79" s="13" t="s">
        <v>231</v>
      </c>
      <c r="F79" s="13" t="s">
        <v>82</v>
      </c>
      <c r="G79" s="38">
        <v>706724</v>
      </c>
      <c r="H79" s="39">
        <v>15</v>
      </c>
      <c r="J79" s="16">
        <f t="shared" ca="1" si="6"/>
        <v>400</v>
      </c>
      <c r="K79" s="16" t="str" cm="1">
        <f t="array" aca="1" ref="K79" ca="1">_xlfn.IFS(J79&gt;=H79,"0",J79&lt;H79,"100")</f>
        <v>0</v>
      </c>
      <c r="O79" s="13" t="s">
        <v>51</v>
      </c>
      <c r="Q79" s="17">
        <f ca="1">-J79/H79</f>
        <v>-26.666666666666668</v>
      </c>
    </row>
    <row r="80" spans="1:17" x14ac:dyDescent="0.2">
      <c r="A80" s="13" t="s">
        <v>229</v>
      </c>
      <c r="B80" s="13" t="s">
        <v>26</v>
      </c>
      <c r="C80" s="13" t="s">
        <v>237</v>
      </c>
      <c r="D80" s="40">
        <v>45568</v>
      </c>
      <c r="E80" s="13" t="s">
        <v>231</v>
      </c>
      <c r="F80" s="13" t="s">
        <v>82</v>
      </c>
      <c r="G80" s="35">
        <v>56000</v>
      </c>
      <c r="H80" s="16">
        <v>7</v>
      </c>
      <c r="J80" s="16">
        <f t="shared" ca="1" si="6"/>
        <v>397</v>
      </c>
      <c r="K80" s="16" t="str">
        <f ca="1">IF(J80&gt;=H80,"0",IF(I80&lt;&gt;"","100","50"))</f>
        <v>0</v>
      </c>
      <c r="L80" s="13" t="s">
        <v>238</v>
      </c>
      <c r="O80" s="13" t="s">
        <v>51</v>
      </c>
      <c r="Q80" s="17">
        <f ca="1">-J80/H80</f>
        <v>-56.714285714285715</v>
      </c>
    </row>
    <row r="81" spans="1:17" x14ac:dyDescent="0.2">
      <c r="A81" s="13" t="s">
        <v>229</v>
      </c>
      <c r="B81" s="13" t="s">
        <v>26</v>
      </c>
      <c r="C81" s="13" t="s">
        <v>239</v>
      </c>
      <c r="D81" s="14">
        <v>45559</v>
      </c>
      <c r="E81" s="13" t="s">
        <v>231</v>
      </c>
      <c r="F81" s="13" t="s">
        <v>82</v>
      </c>
      <c r="G81" s="15">
        <v>161435.85</v>
      </c>
      <c r="H81" s="16">
        <v>10</v>
      </c>
      <c r="J81" s="16">
        <f t="shared" ca="1" si="6"/>
        <v>406</v>
      </c>
      <c r="K81" s="16" t="str" cm="1">
        <f t="array" aca="1" ref="K81" ca="1">_xlfn.IFS(J81&gt;=H81,"0",J81&lt;H81,"100")</f>
        <v>0</v>
      </c>
      <c r="O81" s="13" t="s">
        <v>51</v>
      </c>
      <c r="Q81" s="17">
        <f ca="1">-J81/H81</f>
        <v>-40.6</v>
      </c>
    </row>
    <row r="82" spans="1:17" x14ac:dyDescent="0.2">
      <c r="A82" s="13" t="s">
        <v>240</v>
      </c>
      <c r="B82" s="13" t="s">
        <v>79</v>
      </c>
      <c r="C82" s="13" t="s">
        <v>241</v>
      </c>
      <c r="D82" s="14">
        <v>45571</v>
      </c>
      <c r="F82" s="13" t="s">
        <v>242</v>
      </c>
      <c r="G82" s="13">
        <v>20000</v>
      </c>
      <c r="H82" s="16">
        <v>7</v>
      </c>
      <c r="J82" s="16">
        <f t="shared" ca="1" si="6"/>
        <v>394</v>
      </c>
      <c r="K82" s="16" t="str">
        <f ca="1">IF(J82&gt;=H82,"0",IF(I82&lt;&gt;"","100","50"))</f>
        <v>0</v>
      </c>
      <c r="O82" s="13" t="s">
        <v>51</v>
      </c>
    </row>
    <row r="83" spans="1:17" x14ac:dyDescent="0.2">
      <c r="A83" s="13" t="s">
        <v>240</v>
      </c>
      <c r="B83" s="13" t="s">
        <v>79</v>
      </c>
      <c r="C83" s="13" t="s">
        <v>243</v>
      </c>
      <c r="D83" s="14">
        <v>45571</v>
      </c>
      <c r="F83" s="13" t="s">
        <v>242</v>
      </c>
      <c r="G83" s="13">
        <v>40000</v>
      </c>
      <c r="H83" s="16">
        <v>7</v>
      </c>
      <c r="J83" s="16">
        <f t="shared" ca="1" si="6"/>
        <v>394</v>
      </c>
      <c r="K83" s="16" t="str">
        <f ca="1">IF(J83&gt;=H83,"0",IF(I83&lt;&gt;"","100","50"))</f>
        <v>0</v>
      </c>
      <c r="O83" s="13" t="s">
        <v>51</v>
      </c>
    </row>
    <row r="84" spans="1:17" x14ac:dyDescent="0.2">
      <c r="A84" s="13" t="s">
        <v>739</v>
      </c>
      <c r="B84" s="13" t="s">
        <v>26</v>
      </c>
      <c r="C84" s="24" t="s">
        <v>244</v>
      </c>
      <c r="D84" s="14">
        <v>45572</v>
      </c>
      <c r="E84" s="13" t="s">
        <v>245</v>
      </c>
      <c r="F84" s="13" t="s">
        <v>82</v>
      </c>
      <c r="G84" s="24">
        <v>2050</v>
      </c>
      <c r="H84" s="26">
        <v>7</v>
      </c>
      <c r="I84" s="14">
        <v>45573</v>
      </c>
      <c r="J84" s="16">
        <f t="shared" ca="1" si="6"/>
        <v>1</v>
      </c>
      <c r="K84" s="16" t="str">
        <f ca="1">IF(J84&gt;=H84,"0",IF(I84&lt;&gt;"","100","50"))</f>
        <v>100</v>
      </c>
      <c r="L84" s="24" t="s">
        <v>246</v>
      </c>
      <c r="M84" s="27"/>
      <c r="O84" s="13" t="s">
        <v>51</v>
      </c>
    </row>
    <row r="85" spans="1:17" x14ac:dyDescent="0.2">
      <c r="A85" s="24" t="s">
        <v>247</v>
      </c>
      <c r="B85" s="13" t="s">
        <v>20</v>
      </c>
      <c r="C85" s="13" t="s">
        <v>248</v>
      </c>
      <c r="D85" s="14">
        <v>45566</v>
      </c>
      <c r="F85" s="13" t="s">
        <v>82</v>
      </c>
      <c r="G85" s="41" t="s">
        <v>249</v>
      </c>
      <c r="H85" s="42">
        <v>7</v>
      </c>
      <c r="J85" s="16">
        <f t="shared" ca="1" si="6"/>
        <v>399</v>
      </c>
      <c r="K85" s="16" t="str" cm="1">
        <f t="array" aca="1" ref="K85" ca="1">_xlfn.IFS(J85&gt;=H85,"0",J85&lt;H85,"100")</f>
        <v>0</v>
      </c>
      <c r="O85" s="13" t="s">
        <v>51</v>
      </c>
    </row>
    <row r="86" spans="1:17" x14ac:dyDescent="0.2">
      <c r="A86" s="24" t="s">
        <v>247</v>
      </c>
      <c r="B86" s="13" t="s">
        <v>20</v>
      </c>
      <c r="C86" s="13" t="s">
        <v>250</v>
      </c>
      <c r="D86" s="14">
        <v>45571</v>
      </c>
      <c r="F86" s="13" t="s">
        <v>82</v>
      </c>
      <c r="G86" s="41">
        <v>1000000</v>
      </c>
      <c r="H86" s="42">
        <v>15</v>
      </c>
      <c r="J86" s="16">
        <f t="shared" ca="1" si="6"/>
        <v>394</v>
      </c>
      <c r="K86" s="16" t="str">
        <f t="shared" ref="K86:K96" ca="1" si="7">IF(J86&gt;=H86,"0",IF(I86&lt;&gt;"","100","50"))</f>
        <v>0</v>
      </c>
      <c r="O86" s="13" t="s">
        <v>51</v>
      </c>
    </row>
    <row r="87" spans="1:17" x14ac:dyDescent="0.2">
      <c r="A87" s="24" t="s">
        <v>251</v>
      </c>
      <c r="B87" s="13" t="s">
        <v>79</v>
      </c>
      <c r="C87" s="13" t="s">
        <v>252</v>
      </c>
      <c r="D87" s="14">
        <v>45567</v>
      </c>
      <c r="F87" s="13" t="s">
        <v>82</v>
      </c>
      <c r="G87" s="43">
        <v>100000</v>
      </c>
      <c r="H87" s="65">
        <v>10</v>
      </c>
      <c r="J87" s="16">
        <f t="shared" ca="1" si="6"/>
        <v>398</v>
      </c>
      <c r="K87" s="16" t="str">
        <f ca="1">IF(J87&gt;=H87,"0",IF(I87&lt;&gt;"","100","50"))</f>
        <v>0</v>
      </c>
      <c r="O87" s="13" t="s">
        <v>51</v>
      </c>
    </row>
    <row r="88" spans="1:17" x14ac:dyDescent="0.2">
      <c r="A88" s="24" t="s">
        <v>253</v>
      </c>
      <c r="B88" s="13" t="s">
        <v>26</v>
      </c>
      <c r="C88" s="13" t="s">
        <v>254</v>
      </c>
      <c r="D88" s="14">
        <v>45572</v>
      </c>
      <c r="F88" s="13" t="s">
        <v>82</v>
      </c>
      <c r="G88" s="13">
        <v>800</v>
      </c>
      <c r="H88" s="16">
        <v>7</v>
      </c>
      <c r="J88" s="16">
        <f t="shared" ca="1" si="6"/>
        <v>393</v>
      </c>
      <c r="K88" s="16" t="str">
        <f t="shared" ca="1" si="7"/>
        <v>0</v>
      </c>
      <c r="O88" s="13" t="s">
        <v>51</v>
      </c>
    </row>
    <row r="89" spans="1:17" x14ac:dyDescent="0.2">
      <c r="A89" s="24" t="s">
        <v>253</v>
      </c>
      <c r="B89" s="13" t="s">
        <v>26</v>
      </c>
      <c r="C89" s="13" t="s">
        <v>255</v>
      </c>
      <c r="D89" s="14">
        <v>45572</v>
      </c>
      <c r="F89" s="13" t="s">
        <v>82</v>
      </c>
      <c r="G89" s="13">
        <v>665</v>
      </c>
      <c r="H89" s="16">
        <v>7</v>
      </c>
      <c r="J89" s="16">
        <f t="shared" ca="1" si="6"/>
        <v>393</v>
      </c>
      <c r="K89" s="16" t="str">
        <f ca="1">IF(J89&gt;=H89,"0",IF(I89&lt;&gt;"","100","50"))</f>
        <v>0</v>
      </c>
      <c r="O89" s="13" t="s">
        <v>51</v>
      </c>
    </row>
    <row r="90" spans="1:17" x14ac:dyDescent="0.2">
      <c r="A90" s="24" t="s">
        <v>256</v>
      </c>
      <c r="B90" s="13" t="s">
        <v>20</v>
      </c>
      <c r="C90" s="13" t="s">
        <v>257</v>
      </c>
      <c r="D90" s="14">
        <v>45572</v>
      </c>
      <c r="F90" s="13" t="s">
        <v>82</v>
      </c>
      <c r="G90" s="13">
        <v>49801.9</v>
      </c>
      <c r="H90" s="16">
        <v>7</v>
      </c>
      <c r="I90" s="14">
        <v>45573</v>
      </c>
      <c r="J90" s="16">
        <f t="shared" ca="1" si="6"/>
        <v>1</v>
      </c>
      <c r="K90" s="16" t="str">
        <f t="shared" ca="1" si="7"/>
        <v>100</v>
      </c>
      <c r="L90" s="13" t="s">
        <v>258</v>
      </c>
      <c r="O90" s="13" t="s">
        <v>51</v>
      </c>
      <c r="P90" s="13" t="s">
        <v>741</v>
      </c>
    </row>
    <row r="91" spans="1:17" x14ac:dyDescent="0.2">
      <c r="A91" s="13" t="s">
        <v>739</v>
      </c>
      <c r="B91" s="13" t="s">
        <v>26</v>
      </c>
      <c r="C91" s="13" t="s">
        <v>259</v>
      </c>
      <c r="D91" s="14">
        <v>45572</v>
      </c>
      <c r="E91" s="13" t="s">
        <v>260</v>
      </c>
      <c r="F91" s="13" t="s">
        <v>82</v>
      </c>
      <c r="G91" s="24">
        <v>1150</v>
      </c>
      <c r="H91" s="26">
        <v>7</v>
      </c>
      <c r="I91" s="44">
        <v>45573</v>
      </c>
      <c r="J91" s="16">
        <f t="shared" ca="1" si="6"/>
        <v>1</v>
      </c>
      <c r="K91" s="16" t="str">
        <f t="shared" ca="1" si="7"/>
        <v>100</v>
      </c>
      <c r="L91" s="24" t="s">
        <v>261</v>
      </c>
      <c r="M91" s="27"/>
      <c r="O91" s="13" t="s">
        <v>51</v>
      </c>
    </row>
    <row r="92" spans="1:17" x14ac:dyDescent="0.2">
      <c r="A92" s="13" t="s">
        <v>739</v>
      </c>
      <c r="B92" s="13" t="s">
        <v>26</v>
      </c>
      <c r="C92" s="13" t="s">
        <v>262</v>
      </c>
      <c r="D92" s="14">
        <v>45572</v>
      </c>
      <c r="E92" s="13" t="s">
        <v>263</v>
      </c>
      <c r="F92" s="13" t="s">
        <v>82</v>
      </c>
      <c r="G92" s="24">
        <v>1029.25</v>
      </c>
      <c r="H92" s="26">
        <v>7</v>
      </c>
      <c r="I92" s="44">
        <v>45360</v>
      </c>
      <c r="J92" s="16">
        <f t="shared" ca="1" si="6"/>
        <v>-212</v>
      </c>
      <c r="K92" s="16" t="str">
        <f t="shared" ca="1" si="7"/>
        <v>100</v>
      </c>
      <c r="L92" s="24" t="s">
        <v>264</v>
      </c>
      <c r="M92" s="27" t="s">
        <v>265</v>
      </c>
      <c r="N92" s="14">
        <v>45514</v>
      </c>
      <c r="O92" s="13" t="s">
        <v>24</v>
      </c>
      <c r="P92" s="13" t="s">
        <v>32</v>
      </c>
    </row>
    <row r="93" spans="1:17" x14ac:dyDescent="0.2">
      <c r="A93" s="13" t="s">
        <v>739</v>
      </c>
      <c r="B93" s="13" t="s">
        <v>26</v>
      </c>
      <c r="C93" s="13" t="s">
        <v>266</v>
      </c>
      <c r="D93" s="14">
        <v>45572</v>
      </c>
      <c r="E93" s="13" t="s">
        <v>267</v>
      </c>
      <c r="F93" s="13" t="s">
        <v>82</v>
      </c>
      <c r="G93" s="24">
        <v>485.85</v>
      </c>
      <c r="H93" s="26">
        <v>7</v>
      </c>
      <c r="I93" s="44">
        <v>45412</v>
      </c>
      <c r="J93" s="16">
        <f t="shared" ca="1" si="6"/>
        <v>-160</v>
      </c>
      <c r="K93" s="16" t="str">
        <f t="shared" ca="1" si="7"/>
        <v>100</v>
      </c>
      <c r="L93" s="24" t="s">
        <v>269</v>
      </c>
      <c r="M93" s="27" t="s">
        <v>265</v>
      </c>
      <c r="N93" s="14">
        <v>45514</v>
      </c>
      <c r="O93" s="13" t="s">
        <v>24</v>
      </c>
      <c r="P93" s="13" t="s">
        <v>32</v>
      </c>
    </row>
    <row r="94" spans="1:17" x14ac:dyDescent="0.2">
      <c r="A94" s="13" t="s">
        <v>739</v>
      </c>
      <c r="B94" s="13" t="s">
        <v>26</v>
      </c>
      <c r="C94" s="13" t="s">
        <v>270</v>
      </c>
      <c r="D94" s="14">
        <v>45571</v>
      </c>
      <c r="E94" s="13" t="s">
        <v>271</v>
      </c>
      <c r="F94" s="13" t="s">
        <v>82</v>
      </c>
      <c r="G94" s="24">
        <v>1900</v>
      </c>
      <c r="H94" s="26">
        <v>7</v>
      </c>
      <c r="I94" s="44">
        <v>45376</v>
      </c>
      <c r="J94" s="16">
        <f t="shared" ca="1" si="6"/>
        <v>-195</v>
      </c>
      <c r="K94" s="16" t="str">
        <f t="shared" ca="1" si="7"/>
        <v>100</v>
      </c>
      <c r="L94" s="24" t="s">
        <v>273</v>
      </c>
      <c r="M94" s="27" t="s">
        <v>265</v>
      </c>
      <c r="N94" s="14">
        <v>45514</v>
      </c>
      <c r="O94" s="13" t="s">
        <v>24</v>
      </c>
      <c r="P94" s="13" t="s">
        <v>32</v>
      </c>
    </row>
    <row r="95" spans="1:17" x14ac:dyDescent="0.2">
      <c r="A95" s="13" t="s">
        <v>739</v>
      </c>
      <c r="B95" s="13" t="s">
        <v>26</v>
      </c>
      <c r="C95" s="13" t="s">
        <v>274</v>
      </c>
      <c r="D95" s="14">
        <v>45571</v>
      </c>
      <c r="E95" s="13" t="s">
        <v>275</v>
      </c>
      <c r="F95" s="13" t="s">
        <v>82</v>
      </c>
      <c r="G95" s="24">
        <v>1052</v>
      </c>
      <c r="H95" s="26">
        <v>7</v>
      </c>
      <c r="I95" s="14">
        <v>45573</v>
      </c>
      <c r="J95" s="16">
        <f t="shared" ca="1" si="6"/>
        <v>2</v>
      </c>
      <c r="K95" s="16" t="str">
        <f t="shared" ca="1" si="7"/>
        <v>100</v>
      </c>
      <c r="L95" s="24" t="s">
        <v>276</v>
      </c>
      <c r="M95" s="27" t="s">
        <v>277</v>
      </c>
      <c r="O95" s="13" t="s">
        <v>51</v>
      </c>
    </row>
    <row r="96" spans="1:17" x14ac:dyDescent="0.2">
      <c r="A96" s="13" t="s">
        <v>739</v>
      </c>
      <c r="B96" s="13" t="s">
        <v>26</v>
      </c>
      <c r="C96" s="13" t="s">
        <v>278</v>
      </c>
      <c r="D96" s="14">
        <v>45571</v>
      </c>
      <c r="E96" s="13" t="s">
        <v>279</v>
      </c>
      <c r="F96" s="13" t="s">
        <v>82</v>
      </c>
      <c r="G96" s="24">
        <v>1863</v>
      </c>
      <c r="H96" s="26">
        <v>7</v>
      </c>
      <c r="I96" s="14">
        <v>45573</v>
      </c>
      <c r="J96" s="16">
        <f t="shared" ca="1" si="6"/>
        <v>2</v>
      </c>
      <c r="K96" s="16" t="str">
        <f t="shared" ca="1" si="7"/>
        <v>100</v>
      </c>
      <c r="L96" s="24" t="s">
        <v>280</v>
      </c>
      <c r="M96" s="27"/>
      <c r="O96" s="13" t="s">
        <v>51</v>
      </c>
    </row>
    <row r="97" spans="1:17" x14ac:dyDescent="0.2">
      <c r="A97" s="24" t="s">
        <v>46</v>
      </c>
      <c r="B97" s="13" t="s">
        <v>26</v>
      </c>
      <c r="C97" s="13" t="s">
        <v>282</v>
      </c>
      <c r="D97" s="14">
        <v>45557</v>
      </c>
      <c r="F97" s="13" t="s">
        <v>82</v>
      </c>
      <c r="G97" s="13">
        <v>5200</v>
      </c>
      <c r="H97" s="16">
        <v>7</v>
      </c>
      <c r="J97" s="16">
        <f t="shared" ca="1" si="6"/>
        <v>408</v>
      </c>
      <c r="K97" s="16" t="str" cm="1">
        <f t="array" aca="1" ref="K97" ca="1">_xlfn.IFS(J97&gt;=H97,"0",J97&lt;H97,"100")</f>
        <v>0</v>
      </c>
      <c r="L97" s="13" t="s">
        <v>748</v>
      </c>
      <c r="Q97" s="17">
        <f ca="1">-J97/H97</f>
        <v>-58.285714285714285</v>
      </c>
    </row>
    <row r="98" spans="1:17" x14ac:dyDescent="0.2">
      <c r="A98" s="24" t="s">
        <v>285</v>
      </c>
      <c r="B98" s="13" t="s">
        <v>26</v>
      </c>
      <c r="C98" s="13" t="s">
        <v>286</v>
      </c>
      <c r="D98" s="14">
        <v>45572</v>
      </c>
      <c r="F98" s="13" t="s">
        <v>82</v>
      </c>
      <c r="G98" s="13">
        <v>28118</v>
      </c>
      <c r="H98" s="16">
        <v>7</v>
      </c>
      <c r="J98" s="16">
        <f t="shared" ca="1" si="6"/>
        <v>393</v>
      </c>
      <c r="K98" s="16" t="str">
        <f ca="1">IF(J98&gt;=H98,"0",IF(I98&lt;&gt;"","100","50"))</f>
        <v>0</v>
      </c>
      <c r="O98" s="13" t="s">
        <v>51</v>
      </c>
    </row>
    <row r="99" spans="1:17" x14ac:dyDescent="0.2">
      <c r="A99" s="24" t="s">
        <v>285</v>
      </c>
      <c r="B99" s="13" t="s">
        <v>26</v>
      </c>
      <c r="C99" s="13" t="s">
        <v>287</v>
      </c>
      <c r="D99" s="14">
        <v>45571</v>
      </c>
      <c r="F99" s="13" t="s">
        <v>82</v>
      </c>
      <c r="G99" s="13">
        <v>31450</v>
      </c>
      <c r="H99" s="16">
        <v>7</v>
      </c>
      <c r="J99" s="16">
        <f t="shared" ca="1" si="6"/>
        <v>394</v>
      </c>
      <c r="K99" s="16" t="str">
        <f ca="1">IF(J99&gt;=H99,"0",IF(I99&lt;&gt;"","100","50"))</f>
        <v>0</v>
      </c>
      <c r="O99" s="13" t="s">
        <v>51</v>
      </c>
    </row>
    <row r="100" spans="1:17" x14ac:dyDescent="0.2">
      <c r="A100" s="24" t="s">
        <v>285</v>
      </c>
      <c r="B100" s="13" t="s">
        <v>26</v>
      </c>
      <c r="C100" s="13" t="s">
        <v>288</v>
      </c>
      <c r="D100" s="14">
        <v>45571</v>
      </c>
      <c r="F100" s="13" t="s">
        <v>82</v>
      </c>
      <c r="G100" s="13">
        <v>26500</v>
      </c>
      <c r="H100" s="16">
        <v>7</v>
      </c>
      <c r="J100" s="16">
        <f t="shared" ca="1" si="6"/>
        <v>394</v>
      </c>
      <c r="K100" s="16" t="str">
        <f ca="1">IF(J100&gt;=H100,"0",IF(I100&lt;&gt;"","100","50"))</f>
        <v>0</v>
      </c>
      <c r="O100" s="13" t="s">
        <v>51</v>
      </c>
    </row>
    <row r="101" spans="1:17" x14ac:dyDescent="0.2">
      <c r="A101" s="24" t="s">
        <v>285</v>
      </c>
      <c r="B101" s="13" t="s">
        <v>26</v>
      </c>
      <c r="C101" s="13" t="s">
        <v>289</v>
      </c>
      <c r="D101" s="14">
        <v>45568</v>
      </c>
      <c r="F101" s="13" t="s">
        <v>82</v>
      </c>
      <c r="G101" s="13">
        <v>480</v>
      </c>
      <c r="H101" s="16">
        <v>7</v>
      </c>
      <c r="J101" s="16">
        <f t="shared" ca="1" si="6"/>
        <v>397</v>
      </c>
      <c r="K101" s="16" t="str">
        <f ca="1">IF(J101&gt;=H101,"0",IF(I101&lt;&gt;"","100","50"))</f>
        <v>0</v>
      </c>
      <c r="O101" s="13" t="s">
        <v>51</v>
      </c>
    </row>
    <row r="102" spans="1:17" x14ac:dyDescent="0.2">
      <c r="A102" s="24" t="s">
        <v>285</v>
      </c>
      <c r="B102" s="13" t="s">
        <v>26</v>
      </c>
      <c r="C102" s="13" t="s">
        <v>290</v>
      </c>
      <c r="D102" s="14">
        <v>45568</v>
      </c>
      <c r="F102" s="13" t="s">
        <v>82</v>
      </c>
      <c r="G102" s="13">
        <v>235</v>
      </c>
      <c r="H102" s="16">
        <v>7</v>
      </c>
      <c r="J102" s="16">
        <f t="shared" ca="1" si="6"/>
        <v>397</v>
      </c>
      <c r="K102" s="16" t="str">
        <f ca="1">IF(J102&gt;=H102,"0",IF(I102&lt;&gt;"","100","50"))</f>
        <v>0</v>
      </c>
      <c r="O102" s="13" t="s">
        <v>51</v>
      </c>
    </row>
    <row r="103" spans="1:17" x14ac:dyDescent="0.2">
      <c r="A103" s="24" t="s">
        <v>285</v>
      </c>
      <c r="B103" s="13" t="s">
        <v>26</v>
      </c>
      <c r="C103" s="13" t="s">
        <v>291</v>
      </c>
      <c r="D103" s="14">
        <v>45566</v>
      </c>
      <c r="F103" s="13" t="s">
        <v>82</v>
      </c>
      <c r="G103" s="13">
        <v>740</v>
      </c>
      <c r="H103" s="16">
        <v>7</v>
      </c>
      <c r="J103" s="16">
        <f t="shared" ca="1" si="6"/>
        <v>399</v>
      </c>
      <c r="K103" s="16" t="str" cm="1">
        <f t="array" aca="1" ref="K103" ca="1">_xlfn.IFS(J103&gt;=H103,"0",J103&lt;H103,"100")</f>
        <v>0</v>
      </c>
      <c r="M103" s="14">
        <v>45514</v>
      </c>
      <c r="N103" s="14">
        <v>45514</v>
      </c>
    </row>
    <row r="104" spans="1:17" x14ac:dyDescent="0.2">
      <c r="A104" s="13" t="s">
        <v>73</v>
      </c>
      <c r="B104" s="13" t="s">
        <v>26</v>
      </c>
      <c r="C104" s="13" t="s">
        <v>292</v>
      </c>
      <c r="D104" s="14">
        <v>45571</v>
      </c>
      <c r="E104" s="13" t="s">
        <v>293</v>
      </c>
      <c r="F104" s="13" t="s">
        <v>82</v>
      </c>
      <c r="G104" s="13" t="s">
        <v>294</v>
      </c>
      <c r="H104" s="16">
        <v>7</v>
      </c>
      <c r="I104" s="14">
        <v>45571</v>
      </c>
      <c r="J104" s="16">
        <f t="shared" ca="1" si="6"/>
        <v>0</v>
      </c>
      <c r="K104" s="16" t="str">
        <f t="shared" ref="K104:K119" ca="1" si="8">IF(J104&gt;=H104,"0",IF(I104&lt;&gt;"","100","50"))</f>
        <v>100</v>
      </c>
      <c r="M104" s="14">
        <v>45573</v>
      </c>
      <c r="O104" s="13" t="s">
        <v>51</v>
      </c>
    </row>
    <row r="105" spans="1:17" x14ac:dyDescent="0.2">
      <c r="A105" s="24" t="s">
        <v>251</v>
      </c>
      <c r="B105" s="13" t="s">
        <v>79</v>
      </c>
      <c r="C105" s="13" t="s">
        <v>295</v>
      </c>
      <c r="D105" s="14">
        <v>45573</v>
      </c>
      <c r="F105" s="13" t="s">
        <v>296</v>
      </c>
      <c r="G105" s="15">
        <v>21431.4</v>
      </c>
      <c r="H105" s="16">
        <v>7</v>
      </c>
      <c r="J105" s="16">
        <f t="shared" ca="1" si="6"/>
        <v>392</v>
      </c>
      <c r="K105" s="16" t="str">
        <f ca="1">IF(J105&gt;=H105,"0",IF(I105&lt;&gt;"","100","50"))</f>
        <v>0</v>
      </c>
      <c r="O105" s="13" t="s">
        <v>51</v>
      </c>
    </row>
    <row r="106" spans="1:17" x14ac:dyDescent="0.2">
      <c r="A106" s="13" t="s">
        <v>229</v>
      </c>
      <c r="B106" s="13" t="s">
        <v>26</v>
      </c>
      <c r="C106" s="13" t="s">
        <v>297</v>
      </c>
      <c r="D106" s="14">
        <v>45572</v>
      </c>
      <c r="E106" s="13" t="s">
        <v>231</v>
      </c>
      <c r="F106" s="13" t="s">
        <v>82</v>
      </c>
      <c r="G106" s="13">
        <v>494000</v>
      </c>
      <c r="H106" s="16">
        <v>15</v>
      </c>
      <c r="J106" s="16">
        <f t="shared" ca="1" si="6"/>
        <v>393</v>
      </c>
      <c r="K106" s="16" t="str">
        <f t="shared" ca="1" si="8"/>
        <v>0</v>
      </c>
      <c r="O106" s="13" t="s">
        <v>51</v>
      </c>
    </row>
    <row r="107" spans="1:17" x14ac:dyDescent="0.2">
      <c r="A107" s="13" t="s">
        <v>240</v>
      </c>
      <c r="B107" s="13" t="s">
        <v>79</v>
      </c>
      <c r="C107" s="13" t="s">
        <v>298</v>
      </c>
      <c r="D107" s="14">
        <v>45573</v>
      </c>
      <c r="F107" s="13" t="s">
        <v>299</v>
      </c>
      <c r="G107" s="13">
        <v>4500</v>
      </c>
      <c r="H107" s="16">
        <v>7</v>
      </c>
      <c r="J107" s="16">
        <f t="shared" ca="1" si="6"/>
        <v>392</v>
      </c>
      <c r="K107" s="16" t="str">
        <f ca="1">IF(J107&gt;=H107,"0",IF(I107&lt;&gt;"","100","50"))</f>
        <v>0</v>
      </c>
      <c r="O107" s="13" t="s">
        <v>51</v>
      </c>
    </row>
    <row r="108" spans="1:17" x14ac:dyDescent="0.2">
      <c r="A108" s="13" t="s">
        <v>240</v>
      </c>
      <c r="B108" s="13" t="s">
        <v>79</v>
      </c>
      <c r="C108" s="13" t="s">
        <v>300</v>
      </c>
      <c r="D108" s="14">
        <v>45573</v>
      </c>
      <c r="F108" s="13" t="s">
        <v>299</v>
      </c>
      <c r="G108" s="13">
        <v>4500</v>
      </c>
      <c r="H108" s="16">
        <v>7</v>
      </c>
      <c r="J108" s="16">
        <f t="shared" ca="1" si="6"/>
        <v>392</v>
      </c>
      <c r="K108" s="16" t="str">
        <f ca="1">IF(J108&gt;=H108,"0",IF(I108&lt;&gt;"","100","50"))</f>
        <v>0</v>
      </c>
      <c r="O108" s="13" t="s">
        <v>51</v>
      </c>
    </row>
    <row r="109" spans="1:17" x14ac:dyDescent="0.2">
      <c r="A109" s="13" t="s">
        <v>105</v>
      </c>
      <c r="B109" s="13" t="s">
        <v>79</v>
      </c>
      <c r="C109" s="13" t="s">
        <v>301</v>
      </c>
      <c r="D109" s="14">
        <v>45573</v>
      </c>
      <c r="E109" s="13" t="s">
        <v>302</v>
      </c>
      <c r="F109" s="13" t="s">
        <v>303</v>
      </c>
      <c r="G109" s="13">
        <v>402.5</v>
      </c>
      <c r="H109" s="16">
        <v>7</v>
      </c>
      <c r="J109" s="16">
        <f t="shared" ca="1" si="6"/>
        <v>392</v>
      </c>
      <c r="K109" s="16" t="str">
        <f ca="1">IF(J109&gt;=H109,"0",IF(I109&lt;&gt;"","100","50"))</f>
        <v>0</v>
      </c>
      <c r="O109" s="13" t="s">
        <v>51</v>
      </c>
    </row>
    <row r="110" spans="1:17" x14ac:dyDescent="0.2">
      <c r="A110" s="13" t="s">
        <v>105</v>
      </c>
      <c r="B110" s="13" t="s">
        <v>79</v>
      </c>
      <c r="C110" s="13" t="s">
        <v>106</v>
      </c>
      <c r="D110" s="14">
        <v>45574</v>
      </c>
      <c r="E110" s="13" t="s">
        <v>106</v>
      </c>
      <c r="F110" s="13" t="s">
        <v>304</v>
      </c>
      <c r="G110" s="13">
        <v>1</v>
      </c>
      <c r="H110" s="16">
        <v>7</v>
      </c>
      <c r="J110" s="16">
        <f t="shared" ca="1" si="6"/>
        <v>391</v>
      </c>
      <c r="K110" s="16" t="str">
        <f ca="1">IF(J110&gt;=H110,"0",IF(I110&lt;&gt;"","100","50"))</f>
        <v>0</v>
      </c>
      <c r="M110" s="27"/>
      <c r="O110" s="13" t="s">
        <v>51</v>
      </c>
    </row>
    <row r="111" spans="1:17" x14ac:dyDescent="0.2">
      <c r="A111" s="13" t="s">
        <v>739</v>
      </c>
      <c r="B111" s="13" t="s">
        <v>26</v>
      </c>
      <c r="C111" s="13" t="s">
        <v>305</v>
      </c>
      <c r="D111" s="14">
        <v>45571</v>
      </c>
      <c r="E111" s="13" t="s">
        <v>306</v>
      </c>
      <c r="F111" s="13" t="s">
        <v>307</v>
      </c>
      <c r="G111" s="13">
        <v>420</v>
      </c>
      <c r="H111" s="16">
        <v>7</v>
      </c>
      <c r="I111" s="14">
        <v>45538</v>
      </c>
      <c r="J111" s="16">
        <f t="shared" ca="1" si="6"/>
        <v>-33</v>
      </c>
      <c r="K111" s="16" t="str">
        <f t="shared" ca="1" si="8"/>
        <v>100</v>
      </c>
      <c r="L111" s="24" t="s">
        <v>308</v>
      </c>
      <c r="M111" s="27" t="s">
        <v>200</v>
      </c>
      <c r="N111" s="14">
        <v>45574</v>
      </c>
      <c r="O111" s="66" t="s">
        <v>24</v>
      </c>
      <c r="P111" s="67" t="s">
        <v>32</v>
      </c>
    </row>
    <row r="112" spans="1:17" x14ac:dyDescent="0.2">
      <c r="A112" s="13" t="s">
        <v>739</v>
      </c>
      <c r="B112" s="13" t="s">
        <v>26</v>
      </c>
      <c r="C112" s="13" t="s">
        <v>309</v>
      </c>
      <c r="D112" s="14">
        <v>45571</v>
      </c>
      <c r="E112" s="13" t="s">
        <v>306</v>
      </c>
      <c r="F112" s="13" t="s">
        <v>310</v>
      </c>
      <c r="G112" s="13">
        <v>420</v>
      </c>
      <c r="H112" s="16">
        <v>7</v>
      </c>
      <c r="I112" s="14">
        <v>45538</v>
      </c>
      <c r="J112" s="16">
        <f t="shared" ca="1" si="6"/>
        <v>-33</v>
      </c>
      <c r="K112" s="16" t="str">
        <f t="shared" ca="1" si="8"/>
        <v>100</v>
      </c>
      <c r="L112" s="24" t="s">
        <v>308</v>
      </c>
      <c r="M112" s="27" t="s">
        <v>200</v>
      </c>
      <c r="N112" s="14">
        <v>45574</v>
      </c>
      <c r="O112" s="66" t="s">
        <v>24</v>
      </c>
      <c r="P112" s="67" t="s">
        <v>32</v>
      </c>
    </row>
    <row r="113" spans="1:16" x14ac:dyDescent="0.2">
      <c r="A113" s="13" t="s">
        <v>739</v>
      </c>
      <c r="B113" s="13" t="s">
        <v>26</v>
      </c>
      <c r="C113" s="13" t="s">
        <v>311</v>
      </c>
      <c r="D113" s="14">
        <v>45571</v>
      </c>
      <c r="E113" s="13" t="s">
        <v>312</v>
      </c>
      <c r="F113" s="13" t="s">
        <v>313</v>
      </c>
      <c r="G113" s="13">
        <v>220</v>
      </c>
      <c r="H113" s="16">
        <v>7</v>
      </c>
      <c r="I113" s="14">
        <v>45505</v>
      </c>
      <c r="J113" s="16">
        <f t="shared" ca="1" si="6"/>
        <v>-66</v>
      </c>
      <c r="K113" s="16" t="str">
        <f t="shared" ca="1" si="8"/>
        <v>100</v>
      </c>
      <c r="L113" s="24" t="s">
        <v>314</v>
      </c>
      <c r="M113" s="27" t="s">
        <v>265</v>
      </c>
      <c r="N113" s="14">
        <v>45574</v>
      </c>
      <c r="O113" s="66" t="s">
        <v>24</v>
      </c>
      <c r="P113" s="67" t="s">
        <v>32</v>
      </c>
    </row>
    <row r="114" spans="1:16" x14ac:dyDescent="0.2">
      <c r="A114" s="13" t="s">
        <v>739</v>
      </c>
      <c r="B114" s="13" t="s">
        <v>26</v>
      </c>
      <c r="C114" s="13" t="s">
        <v>315</v>
      </c>
      <c r="D114" s="14">
        <v>45568</v>
      </c>
      <c r="E114" s="13" t="s">
        <v>316</v>
      </c>
      <c r="F114" s="13" t="s">
        <v>317</v>
      </c>
      <c r="G114" s="13">
        <v>97</v>
      </c>
      <c r="H114" s="16">
        <v>7</v>
      </c>
      <c r="I114" s="14">
        <v>45574</v>
      </c>
      <c r="J114" s="16">
        <f t="shared" ca="1" si="6"/>
        <v>6</v>
      </c>
      <c r="K114" s="16" t="str">
        <f t="shared" ca="1" si="8"/>
        <v>100</v>
      </c>
      <c r="M114" s="27" t="s">
        <v>277</v>
      </c>
      <c r="O114" s="13" t="s">
        <v>51</v>
      </c>
    </row>
    <row r="115" spans="1:16" x14ac:dyDescent="0.2">
      <c r="A115" s="13" t="s">
        <v>739</v>
      </c>
      <c r="B115" s="13" t="s">
        <v>26</v>
      </c>
      <c r="C115" s="13" t="s">
        <v>315</v>
      </c>
      <c r="D115" s="14">
        <v>45568</v>
      </c>
      <c r="E115" s="13" t="s">
        <v>319</v>
      </c>
      <c r="F115" s="13" t="s">
        <v>317</v>
      </c>
      <c r="G115" s="13">
        <v>426.1</v>
      </c>
      <c r="H115" s="16">
        <v>7</v>
      </c>
      <c r="I115" s="14">
        <v>45574</v>
      </c>
      <c r="J115" s="16">
        <f t="shared" ca="1" si="6"/>
        <v>6</v>
      </c>
      <c r="K115" s="16" t="str">
        <f t="shared" ca="1" si="8"/>
        <v>100</v>
      </c>
      <c r="M115" s="27" t="s">
        <v>277</v>
      </c>
      <c r="O115" s="13" t="s">
        <v>51</v>
      </c>
    </row>
    <row r="116" spans="1:16" x14ac:dyDescent="0.2">
      <c r="A116" s="13" t="s">
        <v>739</v>
      </c>
      <c r="B116" s="13" t="s">
        <v>26</v>
      </c>
      <c r="C116" s="13" t="s">
        <v>315</v>
      </c>
      <c r="D116" s="14">
        <v>45568</v>
      </c>
      <c r="E116" s="13" t="s">
        <v>320</v>
      </c>
      <c r="F116" s="13" t="s">
        <v>317</v>
      </c>
      <c r="G116" s="13">
        <v>500</v>
      </c>
      <c r="H116" s="16">
        <v>7</v>
      </c>
      <c r="I116" s="14">
        <v>45574</v>
      </c>
      <c r="J116" s="16">
        <f t="shared" ca="1" si="6"/>
        <v>6</v>
      </c>
      <c r="K116" s="16" t="str">
        <f t="shared" ca="1" si="8"/>
        <v>100</v>
      </c>
      <c r="M116" s="27" t="s">
        <v>277</v>
      </c>
      <c r="O116" s="13" t="s">
        <v>51</v>
      </c>
    </row>
    <row r="117" spans="1:16" x14ac:dyDescent="0.2">
      <c r="A117" s="13" t="s">
        <v>739</v>
      </c>
      <c r="B117" s="13" t="s">
        <v>26</v>
      </c>
      <c r="C117" s="13" t="s">
        <v>315</v>
      </c>
      <c r="D117" s="14">
        <v>45568</v>
      </c>
      <c r="E117" s="13" t="s">
        <v>321</v>
      </c>
      <c r="F117" s="13" t="s">
        <v>317</v>
      </c>
      <c r="G117" s="13">
        <v>1350</v>
      </c>
      <c r="H117" s="16">
        <v>7</v>
      </c>
      <c r="I117" s="14">
        <v>45574</v>
      </c>
      <c r="J117" s="16">
        <f t="shared" ca="1" si="6"/>
        <v>6</v>
      </c>
      <c r="K117" s="16" t="str">
        <f t="shared" ca="1" si="8"/>
        <v>100</v>
      </c>
      <c r="M117" s="27" t="s">
        <v>277</v>
      </c>
      <c r="O117" s="13" t="s">
        <v>51</v>
      </c>
    </row>
    <row r="118" spans="1:16" x14ac:dyDescent="0.2">
      <c r="A118" s="13" t="s">
        <v>739</v>
      </c>
      <c r="B118" s="13" t="s">
        <v>26</v>
      </c>
      <c r="C118" s="13" t="s">
        <v>315</v>
      </c>
      <c r="D118" s="14">
        <v>45568</v>
      </c>
      <c r="E118" s="13" t="s">
        <v>323</v>
      </c>
      <c r="F118" s="13" t="s">
        <v>317</v>
      </c>
      <c r="G118" s="13">
        <v>50</v>
      </c>
      <c r="H118" s="16">
        <v>7</v>
      </c>
      <c r="I118" s="14">
        <v>45574</v>
      </c>
      <c r="J118" s="16">
        <f t="shared" ca="1" si="6"/>
        <v>6</v>
      </c>
      <c r="K118" s="16" t="str">
        <f t="shared" ca="1" si="8"/>
        <v>100</v>
      </c>
      <c r="M118" s="27" t="s">
        <v>277</v>
      </c>
      <c r="O118" s="13" t="s">
        <v>51</v>
      </c>
    </row>
    <row r="119" spans="1:16" x14ac:dyDescent="0.2">
      <c r="A119" s="13" t="s">
        <v>739</v>
      </c>
      <c r="B119" s="13" t="s">
        <v>26</v>
      </c>
      <c r="C119" s="13" t="s">
        <v>326</v>
      </c>
      <c r="D119" s="14">
        <v>45568</v>
      </c>
      <c r="E119" s="13" t="s">
        <v>327</v>
      </c>
      <c r="F119" s="13" t="s">
        <v>328</v>
      </c>
      <c r="G119" s="13">
        <v>4260</v>
      </c>
      <c r="H119" s="16">
        <v>7</v>
      </c>
      <c r="I119" s="14">
        <v>45574</v>
      </c>
      <c r="J119" s="16">
        <f t="shared" ca="1" si="6"/>
        <v>6</v>
      </c>
      <c r="K119" s="16" t="str">
        <f t="shared" ca="1" si="8"/>
        <v>100</v>
      </c>
      <c r="M119" s="27" t="s">
        <v>329</v>
      </c>
      <c r="O119" s="13" t="s">
        <v>51</v>
      </c>
    </row>
    <row r="120" spans="1:16" x14ac:dyDescent="0.2">
      <c r="J120" s="46"/>
      <c r="K120" s="46"/>
      <c r="M120" s="27"/>
    </row>
    <row r="121" spans="1:16" x14ac:dyDescent="0.2">
      <c r="J121" s="46"/>
      <c r="K121" s="46"/>
    </row>
    <row r="122" spans="1:16" x14ac:dyDescent="0.2">
      <c r="J122" s="46"/>
      <c r="K122" s="46"/>
    </row>
    <row r="123" spans="1:16" x14ac:dyDescent="0.2">
      <c r="J123" s="46"/>
      <c r="K123" s="46"/>
    </row>
    <row r="124" spans="1:16" x14ac:dyDescent="0.2">
      <c r="J124" s="46"/>
      <c r="K124" s="46"/>
    </row>
    <row r="125" spans="1:16" x14ac:dyDescent="0.2">
      <c r="J125" s="46"/>
      <c r="K125" s="46"/>
    </row>
    <row r="126" spans="1:16" x14ac:dyDescent="0.2">
      <c r="J126" s="46"/>
      <c r="K126" s="46"/>
    </row>
    <row r="127" spans="1:16" x14ac:dyDescent="0.2">
      <c r="J127" s="46"/>
      <c r="K127" s="46"/>
    </row>
    <row r="128" spans="1:16" x14ac:dyDescent="0.2">
      <c r="J128" s="46"/>
      <c r="K128" s="46"/>
    </row>
    <row r="129" spans="10:11" x14ac:dyDescent="0.2">
      <c r="J129" s="46"/>
      <c r="K129" s="46"/>
    </row>
    <row r="130" spans="10:11" x14ac:dyDescent="0.2">
      <c r="J130" s="46"/>
      <c r="K130" s="46"/>
    </row>
    <row r="131" spans="10:11" x14ac:dyDescent="0.2">
      <c r="J131" s="46"/>
      <c r="K131" s="46"/>
    </row>
  </sheetData>
  <autoFilter ref="A1:R127" xr:uid="{90D026FF-B80A-47EE-B5C9-CA2F092B5400}">
    <filterColumn colId="1">
      <filters>
        <filter val="التجهيزات"/>
      </filters>
    </filterColumn>
    <filterColumn colId="3">
      <filters>
        <dateGroupItem year="2024" month="10" day="2" dateTimeGrouping="day"/>
        <dateGroupItem year="2024" month="10" day="3" dateTimeGrouping="day"/>
        <dateGroupItem year="2024" month="10" day="6" dateTimeGrouping="day"/>
        <dateGroupItem year="2024" month="10" day="7" dateTimeGrouping="day"/>
        <dateGroupItem year="2024" month="10" day="8" dateTimeGrouping="day"/>
        <dateGroupItem year="2024" month="10" day="9" dateTimeGrouping="day"/>
      </filters>
    </filterColumn>
  </autoFilter>
  <conditionalFormatting sqref="C61:C63">
    <cfRule type="duplicateValues" dxfId="9" priority="3"/>
  </conditionalFormatting>
  <conditionalFormatting sqref="C120:C1048576 C75:C110 C1:C60 C64:C73">
    <cfRule type="duplicateValues" dxfId="8" priority="8"/>
  </conditionalFormatting>
  <conditionalFormatting sqref="C120:C1048576 C85:C110 C72:C73 C1:C60 C75:C83">
    <cfRule type="duplicateValues" dxfId="7" priority="10"/>
  </conditionalFormatting>
  <conditionalFormatting sqref="C1:D29 G1:G1048576 C30 C31:D60 D61:D63 C64:D103 C104 C105:D1048576">
    <cfRule type="containsBlanks" dxfId="6" priority="4">
      <formula>LEN(TRIM(C1))=0</formula>
    </cfRule>
  </conditionalFormatting>
  <conditionalFormatting sqref="E1:E1048576">
    <cfRule type="duplicateValues" dxfId="5" priority="9"/>
  </conditionalFormatting>
  <conditionalFormatting sqref="I41:I46">
    <cfRule type="containsBlanks" dxfId="4" priority="2">
      <formula>LEN(TRIM(I41))=0</formula>
    </cfRule>
  </conditionalFormatting>
  <conditionalFormatting sqref="I58">
    <cfRule type="containsBlanks" dxfId="3" priority="1">
      <formula>LEN(TRIM(I58))=0</formula>
    </cfRule>
  </conditionalFormatting>
  <conditionalFormatting sqref="L120:L1048576 L1:L74 L76:L113">
    <cfRule type="duplicateValues" dxfId="2" priority="7"/>
  </conditionalFormatting>
  <conditionalFormatting sqref="O1:P1048418">
    <cfRule type="containsText" dxfId="1" priority="5" operator="containsText" text="Under Process">
      <formula>NOT(ISERROR(SEARCH("Under Process",O1)))</formula>
    </cfRule>
    <cfRule type="containsText" dxfId="0" priority="6" operator="containsText" text="Closed">
      <formula>NOT(ISERROR(SEARCH("Closed",O1)))</formula>
    </cfRule>
  </conditionalFormatting>
  <dataValidations count="5">
    <dataValidation type="list" allowBlank="1" showInputMessage="1" showErrorMessage="1" sqref="L9 B1:B36 C74" xr:uid="{C17B6237-D03F-4C34-96C8-E8FD6D44296E}">
      <formula1>"المشتريات العامة, التجهيزات , التقنية"</formula1>
    </dataValidation>
    <dataValidation type="list" allowBlank="1" showInputMessage="1" showErrorMessage="1" sqref="O128 O1:O33 O105 O35:O88 O107:O110" xr:uid="{AD61B29C-BA63-42D4-9101-E9862DC2FCEB}">
      <formula1>"Closed , Under Process"</formula1>
    </dataValidation>
    <dataValidation type="list" allowBlank="1" showInputMessage="1" showErrorMessage="1" sqref="B37:B90 B97:B110" xr:uid="{2502D8B1-7A94-427F-825B-E331D19EAFF5}">
      <formula1>"المشتريات العامة, التجهيزات , التقنية, -"</formula1>
    </dataValidation>
    <dataValidation type="date" allowBlank="1" showInputMessage="1" showErrorMessage="1" sqref="D88 D90" xr:uid="{CDA2C81E-91DA-4F21-9808-D633603B8992}">
      <formula1>45566</formula1>
      <formula2>45627</formula2>
    </dataValidation>
    <dataValidation type="list" allowBlank="1" showInputMessage="1" showErrorMessage="1" sqref="R1:R11" xr:uid="{64126BFE-C895-4C7A-98E0-BBCECE4F202E}">
      <formula1>"نعم, لا"</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10</vt:i4>
      </vt:variant>
    </vt:vector>
  </HeadingPairs>
  <TitlesOfParts>
    <vt:vector size="10" baseType="lpstr">
      <vt:lpstr>شاشة المتابعة الرئيسة</vt:lpstr>
      <vt:lpstr>Total Amount- Departmen</vt:lpstr>
      <vt:lpstr>Total PR per Department</vt:lpstr>
      <vt:lpstr>PR Status</vt:lpstr>
      <vt:lpstr> Count of PRs per Category</vt:lpstr>
      <vt:lpstr>PRs by Name</vt:lpstr>
      <vt:lpstr>Timeline</vt:lpstr>
      <vt:lpstr>Dashboard</vt:lpstr>
      <vt:lpstr>Main Tracking Sheet</vt:lpstr>
      <vt:lpstr>شاشة المتابعة الرئيسة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 Saleh ريما صالح</dc:creator>
  <cp:lastModifiedBy>Reema Saleh ريما صالح</cp:lastModifiedBy>
  <dcterms:created xsi:type="dcterms:W3CDTF">2025-11-01T07:39:19Z</dcterms:created>
  <dcterms:modified xsi:type="dcterms:W3CDTF">2025-11-04T19:12:59Z</dcterms:modified>
</cp:coreProperties>
</file>